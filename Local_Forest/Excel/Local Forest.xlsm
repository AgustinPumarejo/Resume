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Internships\Second Application\Resume\"/>
    </mc:Choice>
  </mc:AlternateContent>
  <xr:revisionPtr revIDLastSave="0" documentId="8_{EEED8B00-BF47-458F-B4F4-B0E6F006D298}" xr6:coauthVersionLast="46" xr6:coauthVersionMax="46" xr10:uidLastSave="{00000000-0000-0000-0000-000000000000}"/>
  <bookViews>
    <workbookView xWindow="-120" yWindow="-120" windowWidth="20730" windowHeight="11160" firstSheet="3" activeTab="4" xr2:uid="{00000000-000D-0000-FFFF-FFFF00000000}"/>
  </bookViews>
  <sheets>
    <sheet name="Clientes" sheetId="1" r:id="rId1"/>
    <sheet name="Proveedores" sheetId="2" r:id="rId2"/>
    <sheet name="Productos" sheetId="3" r:id="rId3"/>
    <sheet name="Paquetes" sheetId="4" r:id="rId4"/>
    <sheet name="Compras" sheetId="5" r:id="rId5"/>
    <sheet name="Pedidos" sheetId="6" r:id="rId6"/>
    <sheet name="Ventas" sheetId="7" r:id="rId7"/>
    <sheet name="Admin" sheetId="9" r:id="rId8"/>
    <sheet name="Auxiliar" sheetId="8" r:id="rId9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8" l="1"/>
  <c r="B1" i="8"/>
  <c r="B2" i="8"/>
  <c r="B3" i="8"/>
  <c r="B8" i="8"/>
  <c r="B7" i="8"/>
  <c r="B5" i="8"/>
  <c r="B4" i="8"/>
</calcChain>
</file>

<file path=xl/sharedStrings.xml><?xml version="1.0" encoding="utf-8"?>
<sst xmlns="http://schemas.openxmlformats.org/spreadsheetml/2006/main" count="899" uniqueCount="558">
  <si>
    <t>Apellido</t>
  </si>
  <si>
    <t>Apodo</t>
  </si>
  <si>
    <t>Telefono</t>
  </si>
  <si>
    <t>Calle</t>
  </si>
  <si>
    <t>No. Exterior</t>
  </si>
  <si>
    <t>No. Interior</t>
  </si>
  <si>
    <t>Colonia</t>
  </si>
  <si>
    <t>Municipio/Delegación</t>
  </si>
  <si>
    <t>Estado</t>
  </si>
  <si>
    <t>Código Postal</t>
  </si>
  <si>
    <t>Pais</t>
  </si>
  <si>
    <t>Correo_Electronico</t>
  </si>
  <si>
    <t>Pumarejo</t>
  </si>
  <si>
    <t>Ana</t>
  </si>
  <si>
    <t>paseo de tabachines</t>
  </si>
  <si>
    <t>club de golf tabachines</t>
  </si>
  <si>
    <t>cuernavaca</t>
  </si>
  <si>
    <t>Gonzales</t>
  </si>
  <si>
    <t>Gabriela</t>
  </si>
  <si>
    <t>retorno casahuate</t>
  </si>
  <si>
    <t>privada la cañada</t>
  </si>
  <si>
    <t>Sordo</t>
  </si>
  <si>
    <t>Abuela</t>
  </si>
  <si>
    <t xml:space="preserve">correjidora </t>
  </si>
  <si>
    <t>58B</t>
  </si>
  <si>
    <t>CASA 1</t>
  </si>
  <si>
    <t>campestre tlacopac</t>
  </si>
  <si>
    <t>alvaro obregon</t>
  </si>
  <si>
    <t>Córdoba</t>
  </si>
  <si>
    <t>Erna</t>
  </si>
  <si>
    <t>privada de violetas</t>
  </si>
  <si>
    <t>Haddad</t>
  </si>
  <si>
    <t>Laura</t>
  </si>
  <si>
    <t>rio amacuzac</t>
  </si>
  <si>
    <t>PH</t>
  </si>
  <si>
    <t>vista hermosa</t>
  </si>
  <si>
    <t>Santoyo</t>
  </si>
  <si>
    <t>Dessyre</t>
  </si>
  <si>
    <t>calle san juan</t>
  </si>
  <si>
    <t>fracc. real san juan</t>
  </si>
  <si>
    <t>Arroyo</t>
  </si>
  <si>
    <t>Beatriz</t>
  </si>
  <si>
    <t>Av. Palmira</t>
  </si>
  <si>
    <t>palmira</t>
  </si>
  <si>
    <t>Hernandez</t>
  </si>
  <si>
    <t>avenida palmira</t>
  </si>
  <si>
    <t>CASA 2</t>
  </si>
  <si>
    <t>privada pablo casals</t>
  </si>
  <si>
    <t>Cervantes</t>
  </si>
  <si>
    <t>Ivonne</t>
  </si>
  <si>
    <t xml:space="preserve">paseo de bugambilias </t>
  </si>
  <si>
    <t>Gordón</t>
  </si>
  <si>
    <t>Sonsoles</t>
  </si>
  <si>
    <t xml:space="preserve">paseo de tabachines </t>
  </si>
  <si>
    <t>de La Garza</t>
  </si>
  <si>
    <t>Lucy</t>
  </si>
  <si>
    <t>Rubello</t>
  </si>
  <si>
    <t>privada de san diego sobre diaz ordaz</t>
  </si>
  <si>
    <t>S/N</t>
  </si>
  <si>
    <t>acapatzingo</t>
  </si>
  <si>
    <t>Esther</t>
  </si>
  <si>
    <t>Ma. esther</t>
  </si>
  <si>
    <t>nueva rusia</t>
  </si>
  <si>
    <t>recursos hidraulicos</t>
  </si>
  <si>
    <t>Sepúlveda</t>
  </si>
  <si>
    <t>Alejandra</t>
  </si>
  <si>
    <t>san diego</t>
  </si>
  <si>
    <t>Ruiz</t>
  </si>
  <si>
    <t>Irma</t>
  </si>
  <si>
    <t>5521983229986</t>
  </si>
  <si>
    <t>framboyanes</t>
  </si>
  <si>
    <t>Corral</t>
  </si>
  <si>
    <t>Carcobas</t>
  </si>
  <si>
    <t>Rina</t>
  </si>
  <si>
    <t>Gleason</t>
  </si>
  <si>
    <t>Georgina</t>
  </si>
  <si>
    <t/>
  </si>
  <si>
    <t>tepoztlan</t>
  </si>
  <si>
    <t>Ontañón</t>
  </si>
  <si>
    <t>Tio joaquin</t>
  </si>
  <si>
    <t>2da cerrada de frontera</t>
  </si>
  <si>
    <t>atizapan san angel</t>
  </si>
  <si>
    <t>Gutierrez</t>
  </si>
  <si>
    <t>Bere</t>
  </si>
  <si>
    <t>avenida atlacomulco</t>
  </si>
  <si>
    <t>CASA 44</t>
  </si>
  <si>
    <t>fracc. real las quintas</t>
  </si>
  <si>
    <t>de León</t>
  </si>
  <si>
    <t>Joaquin</t>
  </si>
  <si>
    <t>Lara</t>
  </si>
  <si>
    <t>Jimena</t>
  </si>
  <si>
    <t>pino</t>
  </si>
  <si>
    <t>rancho cortes</t>
  </si>
  <si>
    <t>Muech</t>
  </si>
  <si>
    <t>Guadalupe</t>
  </si>
  <si>
    <t>galeana</t>
  </si>
  <si>
    <t>DEPTO 403</t>
  </si>
  <si>
    <t>Cardenas</t>
  </si>
  <si>
    <t>Adriana</t>
  </si>
  <si>
    <t>CASA 33</t>
  </si>
  <si>
    <t>Leigh</t>
  </si>
  <si>
    <t>Pamela</t>
  </si>
  <si>
    <t>Montalvo</t>
  </si>
  <si>
    <t>rio mayo</t>
  </si>
  <si>
    <t>101C</t>
  </si>
  <si>
    <t>Aquino</t>
  </si>
  <si>
    <t>Pilar</t>
  </si>
  <si>
    <t>paseo del rio</t>
  </si>
  <si>
    <t>los sabinos</t>
  </si>
  <si>
    <t>Lozano</t>
  </si>
  <si>
    <t>Alicia</t>
  </si>
  <si>
    <t>Barba</t>
  </si>
  <si>
    <t>Reyli</t>
  </si>
  <si>
    <t>Jimenez</t>
  </si>
  <si>
    <t>Belinda</t>
  </si>
  <si>
    <t>Quiroz</t>
  </si>
  <si>
    <t>Aida</t>
  </si>
  <si>
    <t>av. palmira</t>
  </si>
  <si>
    <t>Solís</t>
  </si>
  <si>
    <t>Teresa</t>
  </si>
  <si>
    <t>Elvira</t>
  </si>
  <si>
    <t>la conchita coyoacan</t>
  </si>
  <si>
    <t>coyoacan</t>
  </si>
  <si>
    <t>Sitio Sagrado</t>
  </si>
  <si>
    <t>camino real amatlan</t>
  </si>
  <si>
    <t>del carmen</t>
  </si>
  <si>
    <t>Gonzalez</t>
  </si>
  <si>
    <t>ajusco</t>
  </si>
  <si>
    <t>residencial ajusco, rancho cortes</t>
  </si>
  <si>
    <t>Masana</t>
  </si>
  <si>
    <t>circuito eucalipto</t>
  </si>
  <si>
    <t>san jeronimo de ahuatepec</t>
  </si>
  <si>
    <t>Rivas</t>
  </si>
  <si>
    <t>Marina</t>
  </si>
  <si>
    <t>retorno de agua caliente</t>
  </si>
  <si>
    <t>Ozuna</t>
  </si>
  <si>
    <t>Dora</t>
  </si>
  <si>
    <t>Verdena</t>
  </si>
  <si>
    <t>Marcela</t>
  </si>
  <si>
    <t>pico de sorata</t>
  </si>
  <si>
    <t>jardines en la montaña</t>
  </si>
  <si>
    <t>cdmx</t>
  </si>
  <si>
    <t>Rodrigo</t>
  </si>
  <si>
    <t>lomas de cuernavaca</t>
  </si>
  <si>
    <t>Razo</t>
  </si>
  <si>
    <t>Veronica</t>
  </si>
  <si>
    <t>rancho viejo</t>
  </si>
  <si>
    <t>CASA 5</t>
  </si>
  <si>
    <t>los volcanes</t>
  </si>
  <si>
    <t>Davalos</t>
  </si>
  <si>
    <t>Martha</t>
  </si>
  <si>
    <t>Caso</t>
  </si>
  <si>
    <t>Julia</t>
  </si>
  <si>
    <t>abraham zepeda</t>
  </si>
  <si>
    <t>CASA8</t>
  </si>
  <si>
    <t>buenavista privada amate</t>
  </si>
  <si>
    <t>Gaby</t>
  </si>
  <si>
    <t>Tomas</t>
  </si>
  <si>
    <t>Maite</t>
  </si>
  <si>
    <t>DEPTOS</t>
  </si>
  <si>
    <t>PH 2 TORRE B</t>
  </si>
  <si>
    <t>Mijares</t>
  </si>
  <si>
    <t xml:space="preserve">Sebas </t>
  </si>
  <si>
    <t xml:space="preserve">galatea </t>
  </si>
  <si>
    <t xml:space="preserve">delicias </t>
  </si>
  <si>
    <t>Visone</t>
  </si>
  <si>
    <t>Meche</t>
  </si>
  <si>
    <t>privada el puente</t>
  </si>
  <si>
    <t>Briseño</t>
  </si>
  <si>
    <t>rio nazas</t>
  </si>
  <si>
    <t>CASA 6</t>
  </si>
  <si>
    <t>la cima</t>
  </si>
  <si>
    <t>Rivera</t>
  </si>
  <si>
    <t>Vene</t>
  </si>
  <si>
    <t>roberto lepetit</t>
  </si>
  <si>
    <t>residencial cantaranas sobre diaz ordaz acapatzingo</t>
  </si>
  <si>
    <t>Mancera</t>
  </si>
  <si>
    <t>Aurora</t>
  </si>
  <si>
    <t>privada de rio balsas</t>
  </si>
  <si>
    <t>Estrada</t>
  </si>
  <si>
    <t>alejandrina</t>
  </si>
  <si>
    <t>fracc. joyas de cortes</t>
  </si>
  <si>
    <t>Torres</t>
  </si>
  <si>
    <t>Susana</t>
  </si>
  <si>
    <t>col. vista hermosa</t>
  </si>
  <si>
    <t>Solis</t>
  </si>
  <si>
    <t>privada xeju 4</t>
  </si>
  <si>
    <t>col. san anton</t>
  </si>
  <si>
    <t>Martinez</t>
  </si>
  <si>
    <t>Amalia</t>
  </si>
  <si>
    <t>Quintero</t>
  </si>
  <si>
    <t>Nayeli</t>
  </si>
  <si>
    <t>paseo de los cedros</t>
  </si>
  <si>
    <t>García</t>
  </si>
  <si>
    <t>Paola</t>
  </si>
  <si>
    <t>ignacio ramirez</t>
  </si>
  <si>
    <t>Id Cliente</t>
  </si>
  <si>
    <t>Nombre</t>
  </si>
  <si>
    <t>Ana Elena</t>
  </si>
  <si>
    <t>María</t>
  </si>
  <si>
    <t>Joaquín</t>
  </si>
  <si>
    <t>Sofía</t>
  </si>
  <si>
    <t>Hotel</t>
  </si>
  <si>
    <t>Sabastián</t>
  </si>
  <si>
    <t>Mercedes</t>
  </si>
  <si>
    <t>Veneranda</t>
  </si>
  <si>
    <t>Empresa</t>
  </si>
  <si>
    <t>Nombre de Contacto</t>
  </si>
  <si>
    <t>Telefono de la Empresa</t>
  </si>
  <si>
    <t>Teléfono de Contacto</t>
  </si>
  <si>
    <t>Lugar Origen</t>
  </si>
  <si>
    <t>Estado de Origen</t>
  </si>
  <si>
    <t>Distancia</t>
  </si>
  <si>
    <t>Familias Beneficiadas</t>
  </si>
  <si>
    <t>Exotic.com</t>
  </si>
  <si>
    <t>David (Katy)</t>
  </si>
  <si>
    <t>Morelos</t>
  </si>
  <si>
    <t>Georgina Gleason</t>
  </si>
  <si>
    <t>Bernardo Madrid</t>
  </si>
  <si>
    <t>Bernardo</t>
  </si>
  <si>
    <t>Madrid</t>
  </si>
  <si>
    <t>Diego Zorrilla</t>
  </si>
  <si>
    <t>Diego</t>
  </si>
  <si>
    <t>Zorrilla</t>
  </si>
  <si>
    <t>Empacadora Aviarc</t>
  </si>
  <si>
    <t>Bon Mache México</t>
  </si>
  <si>
    <t>Ehitel</t>
  </si>
  <si>
    <t>Valle de Bravo</t>
  </si>
  <si>
    <t>Producción Rural</t>
  </si>
  <si>
    <t>Daniel Lagunes</t>
  </si>
  <si>
    <t>Daniel</t>
  </si>
  <si>
    <t>Lagunes</t>
  </si>
  <si>
    <t>Hannes Fruits and snaks</t>
  </si>
  <si>
    <t>Oliva</t>
  </si>
  <si>
    <t>Veracruz</t>
  </si>
  <si>
    <t>Rancho de GrandMa</t>
  </si>
  <si>
    <t>David</t>
  </si>
  <si>
    <t>Piñon</t>
  </si>
  <si>
    <t>Puebla</t>
  </si>
  <si>
    <t>Palmarola Peach</t>
  </si>
  <si>
    <t>Guanajuato</t>
  </si>
  <si>
    <t>Greener´s Deli</t>
  </si>
  <si>
    <t>Cefe</t>
  </si>
  <si>
    <t>Manola Miranda</t>
  </si>
  <si>
    <t>Manola</t>
  </si>
  <si>
    <t>Alice in Vegaland</t>
  </si>
  <si>
    <t>Liz</t>
  </si>
  <si>
    <t>Miel Xochitlan</t>
  </si>
  <si>
    <t>Matilde</t>
  </si>
  <si>
    <t>QueenBee</t>
  </si>
  <si>
    <t>Begoña</t>
  </si>
  <si>
    <t>Campeche</t>
  </si>
  <si>
    <t>Gabriela Hernandez</t>
  </si>
  <si>
    <t>Sierra Encantada</t>
  </si>
  <si>
    <t>Adolfo</t>
  </si>
  <si>
    <t>Diaz</t>
  </si>
  <si>
    <t>Primo pollo</t>
  </si>
  <si>
    <t>Luis</t>
  </si>
  <si>
    <t>Palacios</t>
  </si>
  <si>
    <t>La v de Mu</t>
  </si>
  <si>
    <t>Alma</t>
  </si>
  <si>
    <t>Italia</t>
  </si>
  <si>
    <t>Id Producto</t>
  </si>
  <si>
    <t>Cantidad</t>
  </si>
  <si>
    <t>Unidad</t>
  </si>
  <si>
    <t>Pvp</t>
  </si>
  <si>
    <t>Grupo</t>
  </si>
  <si>
    <t>Subgrupo</t>
  </si>
  <si>
    <t>Lugar de Origen</t>
  </si>
  <si>
    <t>Aguacate Hass</t>
  </si>
  <si>
    <t>Kg</t>
  </si>
  <si>
    <t>Calabaza Amarilla Orgánica</t>
  </si>
  <si>
    <t>piezas</t>
  </si>
  <si>
    <t>Calabaza Italiana Orgánica</t>
  </si>
  <si>
    <t>Calabaza criolla bola</t>
  </si>
  <si>
    <t xml:space="preserve">Pimientos de Padrón </t>
  </si>
  <si>
    <t>Pepino Persa</t>
  </si>
  <si>
    <t>Cebolla Blanca</t>
  </si>
  <si>
    <t>Cebolla Morada</t>
  </si>
  <si>
    <t>Cebollitas Cambray</t>
  </si>
  <si>
    <t>atado</t>
  </si>
  <si>
    <t>Jitomate saladet orgánico</t>
  </si>
  <si>
    <t>Tomate verde orgánico</t>
  </si>
  <si>
    <t>Chile de árbol fresco</t>
  </si>
  <si>
    <t>Alcachofas Orgánicas</t>
  </si>
  <si>
    <t>pieza</t>
  </si>
  <si>
    <t>Brócoli Orgánico</t>
  </si>
  <si>
    <t>Berenjena Orgánica</t>
  </si>
  <si>
    <t>Esparragos orgánicos</t>
  </si>
  <si>
    <t>Papita cambray orgánica</t>
  </si>
  <si>
    <t>Ejote amarillo orgánico</t>
  </si>
  <si>
    <t>Betabel orgánico</t>
  </si>
  <si>
    <t>Camote orgánico</t>
  </si>
  <si>
    <t>Menta</t>
  </si>
  <si>
    <t>Hierba buena</t>
  </si>
  <si>
    <t>Higo Orgánico 1</t>
  </si>
  <si>
    <t>Higo Orgánico 1/2</t>
  </si>
  <si>
    <t xml:space="preserve">gr </t>
  </si>
  <si>
    <t xml:space="preserve">Limón </t>
  </si>
  <si>
    <t>Limón real orgánico</t>
  </si>
  <si>
    <t>Mandarina</t>
  </si>
  <si>
    <t>Mango Manila Orgánico Certificado</t>
  </si>
  <si>
    <t>Mango Manila Orgánico Certificado Reja</t>
  </si>
  <si>
    <t>Mora Azul Orgánica</t>
  </si>
  <si>
    <t>Mamey</t>
  </si>
  <si>
    <t>Sandia "Reyna linda"</t>
  </si>
  <si>
    <t>Piña Miel</t>
  </si>
  <si>
    <t>Rambután</t>
  </si>
  <si>
    <t>Durazno orgánico</t>
  </si>
  <si>
    <t>Guayaba orgánica</t>
  </si>
  <si>
    <t>Duraznos en almibar</t>
  </si>
  <si>
    <t>Frasco</t>
  </si>
  <si>
    <t>Mango Manila Deshidratado Certificado</t>
  </si>
  <si>
    <t>Tisana Moras</t>
  </si>
  <si>
    <t>Tisana Fresa-Kiwi</t>
  </si>
  <si>
    <t>Tisana Cereza</t>
  </si>
  <si>
    <t>Tisana Manzana-Canela</t>
  </si>
  <si>
    <t>Granola artesanal almendra-coco</t>
  </si>
  <si>
    <t>Almendras con chocolate y matcha</t>
  </si>
  <si>
    <t>Almendras con chocolate y matcha 150g</t>
  </si>
  <si>
    <t>Paquete</t>
  </si>
  <si>
    <t>Almendras con chocolate sin azucar</t>
  </si>
  <si>
    <t>Almendras con chocolate sin azucar 150g</t>
  </si>
  <si>
    <t>Avellanas con chocolate sin azucar</t>
  </si>
  <si>
    <t>Avellanas con chocolate sin azucar 150g</t>
  </si>
  <si>
    <t>Avellanas con chocolate de Leche</t>
  </si>
  <si>
    <t>Avellanas con chocolate de Leche 150g</t>
  </si>
  <si>
    <t>Quinoa inflada con chocolate sin azucar</t>
  </si>
  <si>
    <t>Quinoa inflada con chocolate sin azucar 100g</t>
  </si>
  <si>
    <t>Arándanos con chocolate y matcha</t>
  </si>
  <si>
    <t>Arándanos con chocolate y matcha 150g</t>
  </si>
  <si>
    <t>Arándanos con chocolate sin azucar</t>
  </si>
  <si>
    <t>Arándanos con chocolate sin azucar 150g</t>
  </si>
  <si>
    <t>Pasas con chocolate sin azucar</t>
  </si>
  <si>
    <t>Pasas con chocolate sin azucar 150g</t>
  </si>
  <si>
    <t>Mango enchilado</t>
  </si>
  <si>
    <t>Mango enchilado 150g</t>
  </si>
  <si>
    <t>Fresa enchilada</t>
  </si>
  <si>
    <t>Fresa enchilada 150g</t>
  </si>
  <si>
    <t xml:space="preserve">Arándanos enchilado </t>
  </si>
  <si>
    <t>Arándanos enchilado 150g</t>
  </si>
  <si>
    <t>Miel de abeja Organica 1</t>
  </si>
  <si>
    <t>Litro</t>
  </si>
  <si>
    <t>Miel de abeja Organica 1/2</t>
  </si>
  <si>
    <t>ml</t>
  </si>
  <si>
    <t>Miel Melipona orgánica</t>
  </si>
  <si>
    <t>Miel Apis Cosecha No.4 2020</t>
  </si>
  <si>
    <t>Miel apis cúrcuma-jengibre orgánica</t>
  </si>
  <si>
    <t>Miel apis con Colmena orgánica</t>
  </si>
  <si>
    <t>Mermelada de durazno artesanal</t>
  </si>
  <si>
    <t>Cajeta artesanal</t>
  </si>
  <si>
    <t xml:space="preserve">Huevo Orgánico </t>
  </si>
  <si>
    <t>Docena</t>
  </si>
  <si>
    <t>Queso parmesano Grana Padano</t>
  </si>
  <si>
    <t>Queso cabra hoja de aguacate</t>
  </si>
  <si>
    <t>Queso cabra maduro colli</t>
  </si>
  <si>
    <t>Queso cabra flores comestibles</t>
  </si>
  <si>
    <t>Queso cabra finas hierbas</t>
  </si>
  <si>
    <t>Queso cabra arándano con miel</t>
  </si>
  <si>
    <t>Queso cabra cenizas</t>
  </si>
  <si>
    <t>Queso cabra chipotle</t>
  </si>
  <si>
    <t>Queso cabra ajo</t>
  </si>
  <si>
    <t>Arroz Morelos Gourmet</t>
  </si>
  <si>
    <t>Frijol negro orgánico</t>
  </si>
  <si>
    <t>Garbanzo orgánico</t>
  </si>
  <si>
    <t>Lenteja orgánica</t>
  </si>
  <si>
    <t>Filete de Trucha Ahumada</t>
  </si>
  <si>
    <t xml:space="preserve">Filete de Mero </t>
  </si>
  <si>
    <t>Filete de Extraviado</t>
  </si>
  <si>
    <t>kg</t>
  </si>
  <si>
    <t>Filete de Robalo</t>
  </si>
  <si>
    <t>Filete de Huachinango</t>
  </si>
  <si>
    <t>Camaron Pacotilla Fresco</t>
  </si>
  <si>
    <t>Camaron 16/20</t>
  </si>
  <si>
    <t>Camarón U15</t>
  </si>
  <si>
    <t>Medallón de atún nacional</t>
  </si>
  <si>
    <t>Pulpa de atún</t>
  </si>
  <si>
    <t>Chorizo de atún</t>
  </si>
  <si>
    <t>Atún ahumado</t>
  </si>
  <si>
    <t>Medallón de atún importado</t>
  </si>
  <si>
    <t>Lonja de Salmón</t>
  </si>
  <si>
    <t>Mejillon mediano precocido</t>
  </si>
  <si>
    <t>Almeja Portuguesa blanca</t>
  </si>
  <si>
    <t>Filete de Tilapia</t>
  </si>
  <si>
    <t>Bacalao</t>
  </si>
  <si>
    <t>Cola de Langosta</t>
  </si>
  <si>
    <t>Rib eye lip on</t>
  </si>
  <si>
    <t>Cow boy</t>
  </si>
  <si>
    <t>New York</t>
  </si>
  <si>
    <t>T-Bone</t>
  </si>
  <si>
    <t>Hamburguesa Arrachera</t>
  </si>
  <si>
    <t>Chorizo</t>
  </si>
  <si>
    <t>Chistorra</t>
  </si>
  <si>
    <t>Rib eye lip on Best West</t>
  </si>
  <si>
    <t>Cow Boy Best West</t>
  </si>
  <si>
    <t>New York Best West</t>
  </si>
  <si>
    <t>T-Bone Best West</t>
  </si>
  <si>
    <t>Picaña Choise Sterling</t>
  </si>
  <si>
    <t>Hamburguesa XO Angus</t>
  </si>
  <si>
    <t>Back ribs de cerdo</t>
  </si>
  <si>
    <t>Pechuga de Pollo</t>
  </si>
  <si>
    <t>Pierna y muslo de pollo orgánicos</t>
  </si>
  <si>
    <t>Carbón Vegetal 100% Natural</t>
  </si>
  <si>
    <t>Id Paquete</t>
  </si>
  <si>
    <t>Costo</t>
  </si>
  <si>
    <t>Id Compra</t>
  </si>
  <si>
    <t>Fecha</t>
  </si>
  <si>
    <t>Total</t>
  </si>
  <si>
    <t>Id Pedido</t>
  </si>
  <si>
    <t>Fecha de Pedido</t>
  </si>
  <si>
    <t>Fecha de Entrega</t>
  </si>
  <si>
    <t>Entregado</t>
  </si>
  <si>
    <t>Pagado</t>
  </si>
  <si>
    <t>Cantidad de producto</t>
  </si>
  <si>
    <t>Cantidad de Paquete</t>
  </si>
  <si>
    <t>Subtotal</t>
  </si>
  <si>
    <t>clientes_row</t>
  </si>
  <si>
    <t>proveedores_row</t>
  </si>
  <si>
    <t>productos_row</t>
  </si>
  <si>
    <t>paquetes_row</t>
  </si>
  <si>
    <t>compras_row</t>
  </si>
  <si>
    <t>pedidos_row</t>
  </si>
  <si>
    <t>ventas_row</t>
  </si>
  <si>
    <t>ventas_aux_row</t>
  </si>
  <si>
    <t xml:space="preserve">Días </t>
  </si>
  <si>
    <t>Meses</t>
  </si>
  <si>
    <t>Años</t>
  </si>
  <si>
    <t>Nombre (Unidad)</t>
  </si>
  <si>
    <t>Cantidad Producto</t>
  </si>
  <si>
    <t>Cantidad Paquete</t>
  </si>
  <si>
    <t>Existencia</t>
  </si>
  <si>
    <t>Descuento</t>
  </si>
  <si>
    <t>Calabaza criolla bola (Kg)</t>
  </si>
  <si>
    <t>Pimientos de Padrón  (Kg)</t>
  </si>
  <si>
    <t>Pepino Persa (Kg)</t>
  </si>
  <si>
    <t>Cebolla Blanca (Kg)</t>
  </si>
  <si>
    <t>Cebolla Morada (Kg)</t>
  </si>
  <si>
    <t>Cebollitas Cambray (atado)</t>
  </si>
  <si>
    <t>Jitomate saladet orgánico (Kg)</t>
  </si>
  <si>
    <t>Tomate verde orgánico (Kg)</t>
  </si>
  <si>
    <t>Chile de árbol fresco (Kg)</t>
  </si>
  <si>
    <t>Alcachofas Orgánicas (pieza)</t>
  </si>
  <si>
    <t>Brócoli Orgánico (Kg)</t>
  </si>
  <si>
    <t>Berenjena Orgánica (Kg)</t>
  </si>
  <si>
    <t>Esparragos orgánicos (Kg)</t>
  </si>
  <si>
    <t>Papita cambray orgánica (Kg)</t>
  </si>
  <si>
    <t>Ejote amarillo orgánico (Kg)</t>
  </si>
  <si>
    <t>Betabel orgánico (Kg)</t>
  </si>
  <si>
    <t>Camote orgánico (Kg)</t>
  </si>
  <si>
    <t>Menta (Kg)</t>
  </si>
  <si>
    <t>Hierba buena (Kg)</t>
  </si>
  <si>
    <t>Higo Orgánico 1 (Kg)</t>
  </si>
  <si>
    <t>Higo Orgánico 1/2 (gr )</t>
  </si>
  <si>
    <t>Limón  (Kg)</t>
  </si>
  <si>
    <t>Limón real orgánico (Kg)</t>
  </si>
  <si>
    <t>Mandarina (Kg)</t>
  </si>
  <si>
    <t>Mango Manila Orgánico Certificado (Kg)</t>
  </si>
  <si>
    <t>Mango Manila Orgánico Certificado Reja (Kg)</t>
  </si>
  <si>
    <t>Mora Azul Orgánica (gr )</t>
  </si>
  <si>
    <t>Mamey (Kg)</t>
  </si>
  <si>
    <t>Sandia "Reyna linda" (pieza)</t>
  </si>
  <si>
    <t>Piña Miel (Kg)</t>
  </si>
  <si>
    <t>Rambután (Kg)</t>
  </si>
  <si>
    <t>Durazno orgánico (Kg)</t>
  </si>
  <si>
    <t>Guayaba orgánica (Kg)</t>
  </si>
  <si>
    <t>Duraznos en almibar (Frasco)</t>
  </si>
  <si>
    <t>Mango Manila Deshidratado Certificado (Kg)</t>
  </si>
  <si>
    <t>Tisana Moras (gr )</t>
  </si>
  <si>
    <t>Tisana Fresa-Kiwi (gr )</t>
  </si>
  <si>
    <t>Tisana Cereza (gr )</t>
  </si>
  <si>
    <t>Tisana Manzana-Canela (gr )</t>
  </si>
  <si>
    <t>Granola artesanal almendra-coco (gr )</t>
  </si>
  <si>
    <t>Almendras con chocolate y matcha (Kg)</t>
  </si>
  <si>
    <t>Almendras con chocolate y matcha 150g (Paquete)</t>
  </si>
  <si>
    <t>Almendras con chocolate sin azucar (Kg)</t>
  </si>
  <si>
    <t>Almendras con chocolate sin azucar 150g (Paquete)</t>
  </si>
  <si>
    <t>Avellanas con chocolate sin azucar (Kg)</t>
  </si>
  <si>
    <t>Avellanas con chocolate sin azucar 150g (Paquete)</t>
  </si>
  <si>
    <t>Avellanas con chocolate de Leche (Kg)</t>
  </si>
  <si>
    <t>Avellanas con chocolate de Leche 150g (Paquete)</t>
  </si>
  <si>
    <t>Quinoa inflada con chocolate sin azucar (Kg)</t>
  </si>
  <si>
    <t>Quinoa inflada con chocolate sin azucar 100g (Paquete)</t>
  </si>
  <si>
    <t>Arándanos con chocolate y matcha (Kg)</t>
  </si>
  <si>
    <t>Arándanos con chocolate y matcha 150g (Paquete)</t>
  </si>
  <si>
    <t>Arándanos con chocolate sin azucar (Kg)</t>
  </si>
  <si>
    <t>Arándanos con chocolate sin azucar 150g (Paquete)</t>
  </si>
  <si>
    <t>Pasas con chocolate sin azucar (Kg)</t>
  </si>
  <si>
    <t>Pasas con chocolate sin azucar 150g (Paquete)</t>
  </si>
  <si>
    <t>Mango enchilado (Kg)</t>
  </si>
  <si>
    <t>Mango enchilado 150g (Paquete)</t>
  </si>
  <si>
    <t>Fresa enchilada (Kg)</t>
  </si>
  <si>
    <t>Fresa enchilada 150g (Paquete)</t>
  </si>
  <si>
    <t>Arándanos enchilado  (Paquete)</t>
  </si>
  <si>
    <t>Arándanos enchilado 150g (Paquete)</t>
  </si>
  <si>
    <t>Miel de abeja Organica 1 (Litro)</t>
  </si>
  <si>
    <t>Miel de abeja Organica 1/2 (ml)</t>
  </si>
  <si>
    <t>Miel Melipona orgánica (ml)</t>
  </si>
  <si>
    <t>Miel Apis Cosecha No.4 2020 (ml)</t>
  </si>
  <si>
    <t>Miel apis cúrcuma-jengibre orgánica (ml)</t>
  </si>
  <si>
    <t>Miel apis con Colmena orgánica (ml)</t>
  </si>
  <si>
    <t>Mermelada de durazno artesanal (gr )</t>
  </si>
  <si>
    <t>Cajeta artesanal (gr )</t>
  </si>
  <si>
    <t>Huevo Orgánico  (Docena)</t>
  </si>
  <si>
    <t>Queso parmesano Grana Padano (Kg)</t>
  </si>
  <si>
    <t>Queso cabra hoja de aguacate (pieza)</t>
  </si>
  <si>
    <t>Queso cabra maduro colli (pieza)</t>
  </si>
  <si>
    <t>Queso cabra flores comestibles (pieza)</t>
  </si>
  <si>
    <t>Queso cabra finas hierbas (pieza)</t>
  </si>
  <si>
    <t>Queso cabra arándano con miel (pieza)</t>
  </si>
  <si>
    <t>Queso cabra cenizas (pieza)</t>
  </si>
  <si>
    <t>Queso cabra chipotle (pieza)</t>
  </si>
  <si>
    <t>Queso cabra ajo (pieza)</t>
  </si>
  <si>
    <t>Arroz Morelos Gourmet (Kg)</t>
  </si>
  <si>
    <t>Frijol negro orgánico (Kg)</t>
  </si>
  <si>
    <t>Garbanzo orgánico (Kg)</t>
  </si>
  <si>
    <t>Lenteja orgánica (Kg)</t>
  </si>
  <si>
    <t>Filete de Trucha Ahumada (gr )</t>
  </si>
  <si>
    <t>Filete de Mero  (Kg)</t>
  </si>
  <si>
    <t>Filete de Extraviado (kg)</t>
  </si>
  <si>
    <t>Filete de Robalo (Kg)</t>
  </si>
  <si>
    <t>Filete de Huachinango (Kg)</t>
  </si>
  <si>
    <t>Camaron Pacotilla Fresco (Kg)</t>
  </si>
  <si>
    <t>Camaron 16/20 (Kg)</t>
  </si>
  <si>
    <t>Camarón U15 (Kg)</t>
  </si>
  <si>
    <t>Medallón de atún nacional (Kg)</t>
  </si>
  <si>
    <t>Pulpa de atún (Kg)</t>
  </si>
  <si>
    <t>Chorizo de atún (Kg)</t>
  </si>
  <si>
    <t>Atún ahumado (Kg)</t>
  </si>
  <si>
    <t>Medallón de atún importado (Kg)</t>
  </si>
  <si>
    <t>Lonja de Salmón (Kg)</t>
  </si>
  <si>
    <t>Mejillon mediano precocido (Kg)</t>
  </si>
  <si>
    <t>Almeja Portuguesa blanca (kg)</t>
  </si>
  <si>
    <t>Filete de Tilapia (Kg)</t>
  </si>
  <si>
    <t>Bacalao (Kg)</t>
  </si>
  <si>
    <t>Cola de Langosta (Kg)</t>
  </si>
  <si>
    <t>Rib eye lip on (Kg)</t>
  </si>
  <si>
    <t>Cow boy (Kg)</t>
  </si>
  <si>
    <t>New York (Kg)</t>
  </si>
  <si>
    <t>T-Bone (Kg)</t>
  </si>
  <si>
    <t>Hamburguesa Arrachera (Kg)</t>
  </si>
  <si>
    <t>Chorizo (Kg)</t>
  </si>
  <si>
    <t>Chistorra (Kg)</t>
  </si>
  <si>
    <t>Rib eye lip on Best West (Kg)</t>
  </si>
  <si>
    <t>Cow Boy Best West (Kg)</t>
  </si>
  <si>
    <t>New York Best West (Kg)</t>
  </si>
  <si>
    <t>T-Bone Best West (Kg)</t>
  </si>
  <si>
    <t>Picaña Choise Sterling (Kg)</t>
  </si>
  <si>
    <t>Hamburguesa XO Angus (Kg)</t>
  </si>
  <si>
    <t>Back ribs de cerdo (Kg)</t>
  </si>
  <si>
    <t>Pechuga de Pollo (Kg)</t>
  </si>
  <si>
    <t>Pierna y muslo de pollo orgánicos (Kg)</t>
  </si>
  <si>
    <t>Carbón Vegetal 100% Natural (Kg)</t>
  </si>
  <si>
    <t>Aguacate Hass (Kg)</t>
  </si>
  <si>
    <t>Calabaza Amarilla Orgánica (piezas)</t>
  </si>
  <si>
    <t>Calabaza Italiana Orgánica (Kg)</t>
  </si>
  <si>
    <t xml:space="preserve"> </t>
  </si>
  <si>
    <t>Caja de huevo docena</t>
  </si>
  <si>
    <t>docena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</si>
</sst>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left"/>
    </xf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Pedido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4F8F5A-5AA7-453C-BE1D-D1054540D847}" name="Clientes" displayName="Clientes" ref="A1:N58" totalsRowShown="0" headerRowDxfId="29" dataDxfId="28">
  <autoFilter ref="A1:N58" xr:uid="{8F07EE0D-17CB-4073-8F06-FAD17BB0335F}"/>
  <tableColumns count="14">
    <tableColumn id="1" xr3:uid="{B3CDD884-1AA2-47ED-B9FF-0333A8B05A7D}" name="Id Cliente" dataDxfId="27">
      <calculatedColumnFormula>ROW(A2)-1</calculatedColumnFormula>
    </tableColumn>
    <tableColumn id="2" xr3:uid="{8DDB3C53-208B-4223-A706-8BC9357A9C5D}" name="Nombre" dataDxfId="26"/>
    <tableColumn id="3" xr3:uid="{1AD8709A-9BB2-49DD-BB82-E803853B8054}" name="Apellido" dataDxfId="25"/>
    <tableColumn id="4" xr3:uid="{AF074F3E-9BE0-453D-9377-1E91C446F75C}" name="Apodo" dataDxfId="24"/>
    <tableColumn id="5" xr3:uid="{029344D0-2311-4FBA-A2D4-CBD5F711B0C0}" name="Telefono" dataDxfId="23"/>
    <tableColumn id="6" xr3:uid="{B8948DD8-9ED3-4A2C-BB1B-F7BB0C39B88B}" name="Calle" dataDxfId="22"/>
    <tableColumn id="7" xr3:uid="{B0D15258-7B66-4645-8857-803AF20881E8}" name="No. Exterior" dataDxfId="21"/>
    <tableColumn id="8" xr3:uid="{CBF9F3C6-5CFD-4227-80DA-CB9D303BEA7A}" name="No. Interior" dataDxfId="20"/>
    <tableColumn id="9" xr3:uid="{C60091BD-FC58-4251-A47E-63B0C5902628}" name="Colonia" dataDxfId="19"/>
    <tableColumn id="10" xr3:uid="{5EBBA53C-44E1-4438-9476-343920009292}" name="Municipio/Delegación" dataDxfId="18"/>
    <tableColumn id="11" xr3:uid="{395FED75-F654-43E9-AD58-13112589016E}" name="Estado" dataDxfId="17"/>
    <tableColumn id="12" xr3:uid="{59D135C8-4F77-41DB-AABC-63799AAA2AA3}" name="Código Postal" dataDxfId="16"/>
    <tableColumn id="13" xr3:uid="{1DB5B615-04BF-4248-9BB7-DE2143EFC84E}" name="Pais"/>
    <tableColumn id="14" xr3:uid="{5218107B-70E0-4375-AA17-F239516CFB2B}" name="Correo_Electronic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926CDE-C5FC-4836-A31A-31483230EAD6}" name="Proveedores" displayName="Proveedores" ref="A1:I22" totalsRowShown="0" dataDxfId="15">
  <autoFilter ref="A1:I22" xr:uid="{8A69A1B0-236D-4967-9885-3159D487EBF1}"/>
  <tableColumns count="9">
    <tableColumn id="1" xr3:uid="{0E7FDA97-1C74-4275-A568-839BFCBDBF09}" name="Empresa"/>
    <tableColumn id="2" xr3:uid="{335E464C-7589-453F-A2E4-0B25651B2052}" name="Nombre de Contacto"/>
    <tableColumn id="3" xr3:uid="{8917F609-4124-460E-86DC-A80962A1B645}" name="Apellido"/>
    <tableColumn id="4" xr3:uid="{5BC8D26B-8ED1-488E-AB69-B90ABDD66FD4}" name="Telefono de la Empresa"/>
    <tableColumn id="5" xr3:uid="{7EE0CE89-0DFE-48EE-9657-7AA2C623D591}" name="Teléfono de Contacto" dataDxfId="14"/>
    <tableColumn id="6" xr3:uid="{FE9880CD-0055-43A2-BE38-9BE588A604A1}" name="Lugar Origen" dataDxfId="13"/>
    <tableColumn id="7" xr3:uid="{D3745D95-FB19-4C14-806C-5EBB4C317A5E}" name="Estado de Origen" dataDxfId="12"/>
    <tableColumn id="8" xr3:uid="{8B80E472-83A7-4EED-BA87-7A6D46FC1DFE}" name="Distancia"/>
    <tableColumn id="9" xr3:uid="{796DAC2C-CF39-4326-AE99-A63EC0640E7F}" name="Familias Beneficiada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C1BED0-E1E2-42F5-B847-332330AE02C5}" name="Productos" displayName="Productos" ref="A1:L124" totalsRowShown="0" headerRowDxfId="11" headerRowBorderDxfId="10">
  <autoFilter ref="A1:L124" xr:uid="{4B90DBF9-A922-4E20-B388-205EC5A8E7C2}"/>
  <tableColumns count="12">
    <tableColumn id="1" xr3:uid="{5A2D291E-09E2-45B0-AA8B-AE4F2FC9BFB7}" name="Id Producto" dataDxfId="9">
      <calculatedColumnFormula>ROW(A2)-1</calculatedColumnFormula>
    </tableColumn>
    <tableColumn id="2" xr3:uid="{519CC224-8CC6-4BD8-9922-345FA6EA6800}" name="Nombre" dataDxfId="8"/>
    <tableColumn id="3" xr3:uid="{FF26854B-3EFC-43A1-B16B-808402CFE123}" name="Existencia" dataDxfId="7"/>
    <tableColumn id="4" xr3:uid="{D8280D48-5EAE-44EA-AFD3-FF51BB248EA8}" name="Unidad" dataDxfId="6"/>
    <tableColumn id="5" xr3:uid="{69B681BC-A3C4-4EBC-A418-9DC4BDE2DC10}" name="Pvp" dataDxfId="5"/>
    <tableColumn id="6" xr3:uid="{88BCA6E3-78F1-4DFC-BDD1-0560791A06A0}" name="Grupo" dataDxfId="4"/>
    <tableColumn id="7" xr3:uid="{93CF0AC1-79F3-427B-851E-49F6FF401862}" name="Subgrupo" dataDxfId="3"/>
    <tableColumn id="8" xr3:uid="{D4FB2EDD-F59C-47A1-8404-2301356D907A}" name="Lugar de Origen"/>
    <tableColumn id="9" xr3:uid="{F22DC295-4178-4D30-9B87-24EDED3E01DD}" name="Estado"/>
    <tableColumn id="10" xr3:uid="{EAEC9569-4FE8-4CF4-854A-A358CC5E8C2E}" name="Pais"/>
    <tableColumn id="11" xr3:uid="{A0692818-3820-4E2D-9772-B6ABFA4063BB}" name="Distancia"/>
    <tableColumn id="12" xr3:uid="{53029898-ABBA-4117-B877-B4A274C9A143}" name="Familias Benefici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79CF1E-F0A9-4B95-9DB5-D2E24EAE5035}" name="Paquetes" displayName="Paquetes" ref="A1:E2" totalsRowShown="0">
  <autoFilter ref="A1:E2" xr:uid="{3A101A8C-15BD-42F8-83BB-3298DC00E54B}"/>
  <tableColumns count="5">
    <tableColumn id="1" xr3:uid="{34291415-EE95-48A9-91B2-634C7B5FE746}" name="Id Paquete"/>
    <tableColumn id="2" xr3:uid="{6099DD32-A57E-4823-9568-46219DAA9847}" name="Nombre"/>
    <tableColumn id="3" xr3:uid="{2134EF59-E914-4604-A2D7-CC48E5B0D715}" name="Existencia"/>
    <tableColumn id="4" xr3:uid="{E85EE5C2-DE89-4FD3-B75B-9B73CEA86B4D}" name="Unidad"/>
    <tableColumn id="5" xr3:uid="{CFCAF155-98B3-4946-BD8D-AD91EC183410}" name="Cos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79685B-1E10-49A2-83D6-34E65E3FA844}" name="Compras" displayName="Compras" ref="A1:G2" totalsRowShown="0">
  <autoFilter ref="A1:G2" xr:uid="{580559EF-2414-4354-A1A2-6262B602A963}"/>
  <tableColumns count="7">
    <tableColumn id="1" xr3:uid="{A2B5921E-A1EF-4323-A5C9-207BB950E6F8}" name="Id Compra"/>
    <tableColumn id="2" xr3:uid="{5821B4F0-9B3C-47B6-8002-3275D8BCE7BB}" name="Id Producto"/>
    <tableColumn id="3" xr3:uid="{4590D1FC-2574-42AF-8ED1-607B7A265458}" name="Empresa"/>
    <tableColumn id="4" xr3:uid="{A99A13E2-11C2-4A96-9818-9C404EDFDCA9}" name="Fecha"/>
    <tableColumn id="5" xr3:uid="{2669B424-D88D-40DB-A6B2-E3E9282FFF71}" name="Costo"/>
    <tableColumn id="6" xr3:uid="{654CC501-EACE-4D46-817B-9645FEA9BF71}" name="Cantidad"/>
    <tableColumn id="8" xr3:uid="{090986A6-1FCC-49D7-A0E3-A939EA0A273D}" name="Tot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F7E5F1-41B0-4E6D-8FA6-507AEA0354D9}" name="Pedidos" displayName="Pedidos" ref="A1:H2" totalsRowShown="0">
  <autoFilter ref="A1:H2" xr:uid="{CB860204-2646-424E-8221-B3335865D73B}"/>
  <tableColumns count="8">
    <tableColumn id="1" xr3:uid="{14031926-A706-4F87-B255-15591D1CEE7F}" name="Id Pedido"/>
    <tableColumn id="2" xr3:uid="{9D28AA0A-7C87-48E7-85A7-68DD3565F9AC}" name="Id Cliente"/>
    <tableColumn id="7" xr3:uid="{399A57AC-28A7-4EDF-8B30-4F97B74486A8}" name="Fecha de Pedido"/>
    <tableColumn id="3" xr3:uid="{24DA7987-E623-4CB8-B9B6-6F987A96F17F}" name="Fecha de Entrega"/>
    <tableColumn id="8" xr3:uid="{140D5C94-FF6C-42EA-BAFA-E64BE8540B5B}" name="Descuento"/>
    <tableColumn id="4" xr3:uid="{470D0EAE-1E26-4B41-A808-FF88B1FFC900}" name="Total"/>
    <tableColumn id="5" xr3:uid="{DB0BD241-1C9D-4D71-AD45-9AEB0039D01C}" name="Entregado"/>
    <tableColumn id="6" xr3:uid="{A72B7425-466A-4E0D-8266-14ACBA6AF653}" name="Pagad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FFBD7B6-2FB1-49A9-8ADF-5F4F534A0532}" name="Ventas" displayName="Ventas" ref="A1:H5" totalsRowShown="0">
  <autoFilter ref="A1:H5" xr:uid="{047540BB-3BFB-4225-8094-005F9869E2D8}"/>
  <tableColumns count="8">
    <tableColumn id="1" xr3:uid="{C598EDD5-5F6C-479B-98CE-BB7463188B0B}" name="Id Pedido"/>
    <tableColumn id="2" xr3:uid="{4377D0F1-CC04-4F12-8181-6D4118584FC7}" name="Id Producto"/>
    <tableColumn id="3" xr3:uid="{395B7D48-5D2D-4C5A-A0BB-59AC55243435}" name="Pvp"/>
    <tableColumn id="4" xr3:uid="{3E013C05-257D-49F2-B29D-9D8DD8EA0FDE}" name="Cantidad de producto"/>
    <tableColumn id="5" xr3:uid="{31531EED-36EF-47EF-B49B-66734766E635}" name="Id Paquete"/>
    <tableColumn id="6" xr3:uid="{5FAF971A-5558-4885-968D-797201F32A7D}" name="Cantidad de Paquete"/>
    <tableColumn id="8" xr3:uid="{F258C42C-0A3F-4892-93AA-8A95C84AC031}" name="Descuento"/>
    <tableColumn id="7" xr3:uid="{55E69F66-45FB-4C6C-A822-D511A3D4FEE9}" name="Subtot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293E7D-714A-4BD4-BBB1-3380AF457429}" name="Dias" displayName="Dias" ref="D1:D32" totalsRowShown="0">
  <autoFilter ref="D1:D32" xr:uid="{57AB64D4-FA10-4947-88DC-DE3FA301716A}"/>
  <tableColumns count="1">
    <tableColumn id="1" xr3:uid="{8E7CC9DC-FD36-4696-A963-466B9511FBEE}" name="Días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4650FA-20C5-46C8-ABD2-5BC6E60B6C13}" name="Meses" displayName="Meses" ref="E1:E13" totalsRowShown="0">
  <autoFilter ref="E1:E13" xr:uid="{1A5942B5-8A4E-4EAC-9D6E-D9AF094F5B4B}"/>
  <tableColumns count="1">
    <tableColumn id="1" xr3:uid="{4725178A-954C-4AD1-8145-C90E3E11953F}" name="Mes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32CB19-606C-4F3C-9496-F1729EFF3C12}" name="Años" displayName="Años" ref="F1:F22" totalsRowShown="0">
  <autoFilter ref="F1:F22" xr:uid="{9FAD6B47-6223-4643-BC14-38281803D1AC}"/>
  <tableColumns count="1">
    <tableColumn id="1" xr3:uid="{A8B3FDD7-69E7-4679-B79F-1BE3282F8FA8}" name="Año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B683E8E-3DD5-415C-BA57-E03FF80D1EAD}" name="Pedido_Aux" displayName="Pedido_Aux" ref="K1:R2" totalsRowShown="0" headerRowBorderDxfId="2">
  <autoFilter ref="K1:R2" xr:uid="{6C09D153-E7C2-4458-B1A2-332DE5E9E960}"/>
  <tableColumns count="8">
    <tableColumn id="1" xr3:uid="{E378DB66-9C70-416F-ADF7-26BE43617FC0}" name="Id Pedido"/>
    <tableColumn id="2" xr3:uid="{A4E97B92-768B-4941-81E2-909032DD275F}" name="Id Cliente"/>
    <tableColumn id="7" xr3:uid="{2E32A84E-68A5-49F3-AA9F-DB0044C5552A}" name="Fecha de Pedido"/>
    <tableColumn id="3" xr3:uid="{576298B7-D8A2-4186-AB8D-B9234DCF6668}" name="Fecha de Entrega"/>
    <tableColumn id="8" xr3:uid="{E0B3D1AC-E96C-4270-B32D-260A72BA8A8A}" name="Descuento"/>
    <tableColumn id="4" xr3:uid="{039B8ABD-4C3D-4361-9A32-1C3821850CFE}" name="Total"/>
    <tableColumn id="5" xr3:uid="{7BC878CD-22A9-4ADD-8CE5-50F7B3B163F8}" name="Entregado"/>
    <tableColumn id="6" xr3:uid="{5FBE240A-0255-4240-B55C-93168453BFA2}" name="Pagad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D2CDE9-3B30-4F70-9AAD-F3802DD4E6A1}" name="Ventas_Aux" displayName="Ventas_Aux" ref="T1:Z2" insertRow="1" totalsRowShown="0">
  <autoFilter ref="T1:Z2" xr:uid="{8422839E-0F44-4C5D-944A-D985DA9E63E4}"/>
  <tableColumns count="7">
    <tableColumn id="1" xr3:uid="{6D339595-CB10-447B-A299-4E6F5C430973}" name="Id Producto"/>
    <tableColumn id="2" xr3:uid="{F1567B79-BCFA-4004-A672-9F2164FBCA5C}" name="Cantidad Producto"/>
    <tableColumn id="6" xr3:uid="{C973596D-AAA7-44E5-8F15-23DB2B11F805}" name="Pvp"/>
    <tableColumn id="3" xr3:uid="{A9381373-D6BD-443E-8D63-421863048EA7}" name="Id Paquete"/>
    <tableColumn id="4" xr3:uid="{BBA7FA92-320E-4466-884D-F91384109249}" name="Cantidad Paquete"/>
    <tableColumn id="7" xr3:uid="{4DEB546A-9F3C-428F-867C-FC7AB83849BE}" name="Descuento"/>
    <tableColumn id="5" xr3:uid="{048D1D08-7F18-4738-B40B-1F2EFE449BE2}" name="Subtot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9A19C3-23F1-4BC2-90C7-F3D752A1D614}" name="Lista_Productos" displayName="Lista_Productos" ref="AB1:AE2" insertRow="1" totalsRowShown="0">
  <autoFilter ref="AB1:AE2" xr:uid="{6ABFAB7C-4486-41B7-8CA8-88C7D2AEDBA0}"/>
  <tableColumns count="4">
    <tableColumn id="1" xr3:uid="{32A2E800-399E-4FC4-BFFB-AF7A85DA97B2}" name="Id Producto"/>
    <tableColumn id="2" xr3:uid="{E88337DB-9DFB-4C82-8199-4A1A89660213}" name="Nombre"/>
    <tableColumn id="3" xr3:uid="{C58EF54C-832C-4698-B773-28474AE003BF}" name="Cantidad"/>
    <tableColumn id="4" xr3:uid="{0DEA63E9-E48F-4AE0-8247-AF25634E768D}" name="Pv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3940F3-C763-4E4B-AE08-0E4277B6F5C6}" name="Filtro_Productos" displayName="Filtro_Productos" ref="H1:I124" totalsRowShown="0">
  <autoFilter ref="H1:I124" xr:uid="{14FE5B88-AEB0-453F-82CF-E8BB3E4EC89A}"/>
  <sortState xmlns:xlrd2="http://schemas.microsoft.com/office/spreadsheetml/2017/richdata2" ref="H2:I124">
    <sortCondition ref="I1:I124"/>
  </sortState>
  <tableColumns count="2">
    <tableColumn id="1" xr3:uid="{45DCE460-E1E9-4223-B569-79DF4147CA69}" name="Id Producto" dataDxfId="1"/>
    <tableColumn id="2" xr3:uid="{B17CFF8E-E752-4579-9503-BD0DB5F9A797}" name="Nombre (Unidad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8"/>
  <sheetViews>
    <sheetView workbookViewId="0">
      <selection sqref="A1:XFD1"/>
    </sheetView>
  </sheetViews>
  <sheetFormatPr baseColWidth="10" defaultColWidth="9.140625" defaultRowHeight="15" x14ac:dyDescent="0.25"/>
  <cols>
    <col min="1" max="1" width="11.85546875" bestFit="1" customWidth="1"/>
    <col min="2" max="2" width="10.7109375" bestFit="1" customWidth="1"/>
    <col min="3" max="4" width="12.42578125" bestFit="1" customWidth="1"/>
    <col min="5" max="5" width="14.140625" bestFit="1" customWidth="1"/>
    <col min="6" max="6" width="34.7109375" bestFit="1" customWidth="1"/>
    <col min="7" max="7" width="13.85546875" bestFit="1" customWidth="1"/>
    <col min="8" max="8" width="13.5703125" bestFit="1" customWidth="1"/>
    <col min="9" max="9" width="47.42578125" bestFit="1" customWidth="1"/>
    <col min="10" max="10" width="23.28515625" bestFit="1" customWidth="1"/>
    <col min="12" max="12" width="15.42578125" bestFit="1" customWidth="1"/>
    <col min="13" max="13" width="6.85546875" bestFit="1" customWidth="1"/>
    <col min="14" max="14" width="20.42578125" bestFit="1" customWidth="1"/>
  </cols>
  <sheetData>
    <row r="1" spans="1:14" s="6" customFormat="1" x14ac:dyDescent="0.25">
      <c r="A1" s="6" t="s">
        <v>196</v>
      </c>
      <c r="B1" s="6" t="s">
        <v>197</v>
      </c>
      <c r="C1" s="6" t="s">
        <v>0</v>
      </c>
      <c r="D1" s="6" t="s">
        <v>1</v>
      </c>
      <c r="E1" s="6" t="s">
        <v>2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6" t="s">
        <v>10</v>
      </c>
      <c r="N1" s="7" t="s">
        <v>11</v>
      </c>
    </row>
    <row r="2" spans="1:14" x14ac:dyDescent="0.25">
      <c r="A2">
        <v>1</v>
      </c>
      <c r="B2" s="2" t="s">
        <v>13</v>
      </c>
      <c r="C2" s="2" t="s">
        <v>12</v>
      </c>
      <c r="D2" s="2" t="s">
        <v>13</v>
      </c>
      <c r="E2" s="2">
        <v>7772573646</v>
      </c>
      <c r="F2" s="2" t="s">
        <v>14</v>
      </c>
      <c r="G2" s="3">
        <v>81</v>
      </c>
      <c r="H2" s="3"/>
      <c r="I2" s="3" t="s">
        <v>15</v>
      </c>
      <c r="J2" s="3" t="s">
        <v>16</v>
      </c>
      <c r="K2" s="3"/>
      <c r="L2" s="3">
        <v>62498</v>
      </c>
    </row>
    <row r="3" spans="1:14" x14ac:dyDescent="0.25">
      <c r="A3">
        <v>2</v>
      </c>
      <c r="B3" s="2" t="s">
        <v>18</v>
      </c>
      <c r="C3" s="2" t="s">
        <v>17</v>
      </c>
      <c r="D3" s="2" t="s">
        <v>18</v>
      </c>
      <c r="E3" s="2">
        <v>7773646561</v>
      </c>
      <c r="F3" s="2" t="s">
        <v>19</v>
      </c>
      <c r="G3" s="3">
        <v>47</v>
      </c>
      <c r="H3" s="3"/>
      <c r="I3" s="3" t="s">
        <v>20</v>
      </c>
      <c r="J3" s="3" t="s">
        <v>16</v>
      </c>
      <c r="K3" s="3"/>
      <c r="L3" s="3">
        <v>62180</v>
      </c>
    </row>
    <row r="4" spans="1:14" x14ac:dyDescent="0.25">
      <c r="A4">
        <v>3</v>
      </c>
      <c r="B4" s="2" t="s">
        <v>198</v>
      </c>
      <c r="C4" s="2" t="s">
        <v>21</v>
      </c>
      <c r="D4" s="2" t="s">
        <v>22</v>
      </c>
      <c r="E4" s="2">
        <v>5556630798</v>
      </c>
      <c r="F4" s="2" t="s">
        <v>23</v>
      </c>
      <c r="G4" s="3" t="s">
        <v>24</v>
      </c>
      <c r="H4" s="3" t="s">
        <v>25</v>
      </c>
      <c r="I4" s="3" t="s">
        <v>26</v>
      </c>
      <c r="J4" s="3" t="s">
        <v>27</v>
      </c>
      <c r="K4" s="3"/>
      <c r="L4" s="3">
        <v>1040</v>
      </c>
    </row>
    <row r="5" spans="1:14" x14ac:dyDescent="0.25">
      <c r="A5">
        <v>4</v>
      </c>
      <c r="B5" s="2" t="s">
        <v>29</v>
      </c>
      <c r="C5" s="2" t="s">
        <v>28</v>
      </c>
      <c r="D5" s="2" t="s">
        <v>29</v>
      </c>
      <c r="E5" s="2">
        <v>5529430667</v>
      </c>
      <c r="F5" s="2" t="s">
        <v>30</v>
      </c>
      <c r="G5" s="3">
        <v>24</v>
      </c>
      <c r="H5" s="3"/>
      <c r="I5" s="3" t="s">
        <v>15</v>
      </c>
      <c r="J5" s="3" t="s">
        <v>16</v>
      </c>
      <c r="K5" s="3"/>
      <c r="L5" s="3">
        <v>62498</v>
      </c>
    </row>
    <row r="6" spans="1:14" x14ac:dyDescent="0.25">
      <c r="A6">
        <v>5</v>
      </c>
      <c r="B6" s="2" t="s">
        <v>32</v>
      </c>
      <c r="C6" s="2" t="s">
        <v>31</v>
      </c>
      <c r="D6" s="2" t="s">
        <v>32</v>
      </c>
      <c r="E6" s="2">
        <v>7773041720</v>
      </c>
      <c r="F6" s="2" t="s">
        <v>33</v>
      </c>
      <c r="G6" s="3">
        <v>223</v>
      </c>
      <c r="H6" s="3" t="s">
        <v>34</v>
      </c>
      <c r="I6" s="3" t="s">
        <v>35</v>
      </c>
      <c r="J6" s="3" t="s">
        <v>16</v>
      </c>
      <c r="K6" s="3"/>
      <c r="L6" s="3">
        <v>62290</v>
      </c>
    </row>
    <row r="7" spans="1:14" x14ac:dyDescent="0.25">
      <c r="A7">
        <v>6</v>
      </c>
      <c r="B7" s="2" t="s">
        <v>37</v>
      </c>
      <c r="C7" s="2" t="s">
        <v>36</v>
      </c>
      <c r="D7" s="2" t="s">
        <v>37</v>
      </c>
      <c r="E7" s="2">
        <v>7777874858</v>
      </c>
      <c r="F7" s="2" t="s">
        <v>38</v>
      </c>
      <c r="G7" s="3">
        <v>91</v>
      </c>
      <c r="H7" s="3"/>
      <c r="I7" s="3" t="s">
        <v>39</v>
      </c>
      <c r="J7" s="3" t="s">
        <v>16</v>
      </c>
      <c r="K7" s="3"/>
      <c r="L7" s="3">
        <v>62450</v>
      </c>
    </row>
    <row r="8" spans="1:14" x14ac:dyDescent="0.25">
      <c r="A8">
        <v>7</v>
      </c>
      <c r="B8" s="2" t="s">
        <v>41</v>
      </c>
      <c r="C8" s="2" t="s">
        <v>40</v>
      </c>
      <c r="D8" s="2" t="s">
        <v>41</v>
      </c>
      <c r="E8" s="2">
        <v>7772790072</v>
      </c>
      <c r="F8" s="2" t="s">
        <v>42</v>
      </c>
      <c r="G8" s="3">
        <v>56</v>
      </c>
      <c r="H8" s="3"/>
      <c r="I8" s="3" t="s">
        <v>43</v>
      </c>
      <c r="J8" s="3" t="s">
        <v>16</v>
      </c>
      <c r="K8" s="3"/>
      <c r="L8" s="3">
        <v>62490</v>
      </c>
    </row>
    <row r="9" spans="1:14" x14ac:dyDescent="0.25">
      <c r="A9">
        <v>8</v>
      </c>
      <c r="B9" s="2" t="s">
        <v>18</v>
      </c>
      <c r="C9" s="2" t="s">
        <v>44</v>
      </c>
      <c r="D9" s="2" t="s">
        <v>18</v>
      </c>
      <c r="E9" s="2">
        <v>5528555885</v>
      </c>
      <c r="F9" s="2" t="s">
        <v>45</v>
      </c>
      <c r="G9" s="3">
        <v>109</v>
      </c>
      <c r="H9" s="3" t="s">
        <v>46</v>
      </c>
      <c r="I9" s="3" t="s">
        <v>47</v>
      </c>
      <c r="J9" s="3" t="s">
        <v>16</v>
      </c>
      <c r="K9" s="3"/>
      <c r="L9" s="3">
        <v>62490</v>
      </c>
    </row>
    <row r="10" spans="1:14" x14ac:dyDescent="0.25">
      <c r="A10">
        <v>9</v>
      </c>
      <c r="B10" s="2" t="s">
        <v>49</v>
      </c>
      <c r="C10" s="2" t="s">
        <v>48</v>
      </c>
      <c r="D10" s="2" t="s">
        <v>49</v>
      </c>
      <c r="E10" s="2">
        <v>7772070247</v>
      </c>
      <c r="F10" s="2" t="s">
        <v>50</v>
      </c>
      <c r="G10" s="3">
        <v>69</v>
      </c>
      <c r="H10" s="3"/>
      <c r="I10" s="3" t="s">
        <v>15</v>
      </c>
      <c r="J10" s="3" t="s">
        <v>16</v>
      </c>
      <c r="K10" s="3"/>
      <c r="L10" s="3">
        <v>62498</v>
      </c>
    </row>
    <row r="11" spans="1:14" x14ac:dyDescent="0.25">
      <c r="A11">
        <v>10</v>
      </c>
      <c r="B11" s="2" t="s">
        <v>52</v>
      </c>
      <c r="C11" s="2" t="s">
        <v>51</v>
      </c>
      <c r="D11" s="2" t="s">
        <v>52</v>
      </c>
      <c r="E11" s="2">
        <v>7773122303</v>
      </c>
      <c r="F11" s="2" t="s">
        <v>53</v>
      </c>
      <c r="G11" s="3">
        <v>142</v>
      </c>
      <c r="H11" s="3"/>
      <c r="I11" s="3" t="s">
        <v>15</v>
      </c>
      <c r="J11" s="3" t="s">
        <v>16</v>
      </c>
      <c r="K11" s="3"/>
      <c r="L11" s="3">
        <v>62498</v>
      </c>
    </row>
    <row r="12" spans="1:14" x14ac:dyDescent="0.25">
      <c r="A12">
        <v>11</v>
      </c>
      <c r="B12" s="2" t="s">
        <v>55</v>
      </c>
      <c r="C12" s="2" t="s">
        <v>54</v>
      </c>
      <c r="D12" s="2" t="s">
        <v>55</v>
      </c>
      <c r="E12" s="2">
        <v>7773142425</v>
      </c>
      <c r="F12" s="2" t="s">
        <v>14</v>
      </c>
      <c r="G12" s="3">
        <v>156</v>
      </c>
      <c r="H12" s="3"/>
      <c r="I12" s="3" t="s">
        <v>15</v>
      </c>
      <c r="J12" s="3" t="s">
        <v>16</v>
      </c>
      <c r="K12" s="3"/>
      <c r="L12" s="3">
        <v>62498</v>
      </c>
    </row>
    <row r="13" spans="1:14" x14ac:dyDescent="0.25">
      <c r="A13">
        <v>12</v>
      </c>
      <c r="B13" s="2" t="s">
        <v>41</v>
      </c>
      <c r="C13" s="2" t="s">
        <v>56</v>
      </c>
      <c r="D13" s="2" t="s">
        <v>41</v>
      </c>
      <c r="E13" s="2">
        <v>5521060845</v>
      </c>
      <c r="F13" s="2" t="s">
        <v>57</v>
      </c>
      <c r="G13" s="3" t="s">
        <v>58</v>
      </c>
      <c r="H13" s="3">
        <v>4</v>
      </c>
      <c r="I13" s="3" t="s">
        <v>59</v>
      </c>
      <c r="J13" s="3" t="s">
        <v>16</v>
      </c>
      <c r="K13" s="3"/>
      <c r="L13" s="3">
        <v>62448</v>
      </c>
    </row>
    <row r="14" spans="1:14" x14ac:dyDescent="0.25">
      <c r="A14">
        <v>13</v>
      </c>
      <c r="B14" s="2" t="s">
        <v>199</v>
      </c>
      <c r="C14" s="2" t="s">
        <v>60</v>
      </c>
      <c r="D14" s="2" t="s">
        <v>61</v>
      </c>
      <c r="E14" s="2">
        <v>5543580788</v>
      </c>
      <c r="F14" s="2" t="s">
        <v>62</v>
      </c>
      <c r="G14" s="3">
        <v>297</v>
      </c>
      <c r="H14" s="3"/>
      <c r="I14" s="3" t="s">
        <v>63</v>
      </c>
      <c r="J14" s="3" t="s">
        <v>16</v>
      </c>
      <c r="K14" s="3"/>
      <c r="L14" s="3">
        <v>62245</v>
      </c>
    </row>
    <row r="15" spans="1:14" x14ac:dyDescent="0.25">
      <c r="A15">
        <v>14</v>
      </c>
      <c r="B15" s="2" t="s">
        <v>65</v>
      </c>
      <c r="C15" s="2" t="s">
        <v>64</v>
      </c>
      <c r="D15" s="2" t="s">
        <v>65</v>
      </c>
      <c r="E15" s="2">
        <v>7772338206</v>
      </c>
      <c r="F15" s="2" t="s">
        <v>66</v>
      </c>
      <c r="G15" s="3">
        <v>28</v>
      </c>
      <c r="H15" s="3"/>
      <c r="I15" s="3" t="s">
        <v>59</v>
      </c>
      <c r="J15" s="3" t="s">
        <v>16</v>
      </c>
      <c r="K15" s="3"/>
      <c r="L15" s="3">
        <v>62448</v>
      </c>
    </row>
    <row r="16" spans="1:14" x14ac:dyDescent="0.25">
      <c r="A16">
        <v>15</v>
      </c>
      <c r="B16" s="2" t="s">
        <v>68</v>
      </c>
      <c r="C16" s="2" t="s">
        <v>67</v>
      </c>
      <c r="D16" s="2" t="s">
        <v>68</v>
      </c>
      <c r="E16" s="2" t="s">
        <v>69</v>
      </c>
      <c r="F16" s="2" t="s">
        <v>70</v>
      </c>
      <c r="G16" s="3"/>
      <c r="H16" s="3"/>
      <c r="I16" s="3" t="s">
        <v>15</v>
      </c>
      <c r="J16" s="3" t="s">
        <v>16</v>
      </c>
      <c r="K16" s="3"/>
      <c r="L16" s="3">
        <v>62498</v>
      </c>
    </row>
    <row r="17" spans="1:12" x14ac:dyDescent="0.25">
      <c r="A17">
        <v>16</v>
      </c>
      <c r="B17" s="2" t="s">
        <v>65</v>
      </c>
      <c r="C17" s="2" t="s">
        <v>71</v>
      </c>
      <c r="D17" s="2" t="s">
        <v>65</v>
      </c>
      <c r="E17" s="2">
        <v>7772678281</v>
      </c>
      <c r="F17" s="2" t="s">
        <v>30</v>
      </c>
      <c r="G17" s="3"/>
      <c r="H17" s="3"/>
      <c r="I17" s="3" t="s">
        <v>15</v>
      </c>
      <c r="J17" s="3" t="s">
        <v>16</v>
      </c>
      <c r="K17" s="3"/>
      <c r="L17" s="3">
        <v>62498</v>
      </c>
    </row>
    <row r="18" spans="1:12" x14ac:dyDescent="0.25">
      <c r="A18">
        <v>17</v>
      </c>
      <c r="B18" s="2" t="s">
        <v>73</v>
      </c>
      <c r="C18" s="2" t="s">
        <v>72</v>
      </c>
      <c r="D18" s="2" t="s">
        <v>73</v>
      </c>
      <c r="E18" s="2">
        <v>7774313113</v>
      </c>
      <c r="F18" s="2" t="s">
        <v>14</v>
      </c>
      <c r="G18" s="3">
        <v>143</v>
      </c>
      <c r="H18" s="3"/>
      <c r="I18" s="3" t="s">
        <v>15</v>
      </c>
      <c r="J18" s="3" t="s">
        <v>16</v>
      </c>
      <c r="K18" s="3"/>
      <c r="L18" s="3">
        <v>62498</v>
      </c>
    </row>
    <row r="19" spans="1:12" x14ac:dyDescent="0.25">
      <c r="A19">
        <v>18</v>
      </c>
      <c r="B19" s="2" t="s">
        <v>75</v>
      </c>
      <c r="C19" s="2" t="s">
        <v>74</v>
      </c>
      <c r="D19" s="2" t="s">
        <v>75</v>
      </c>
      <c r="E19" s="2">
        <v>7771363737</v>
      </c>
      <c r="F19" s="2" t="s">
        <v>76</v>
      </c>
      <c r="G19" s="3"/>
      <c r="H19" s="3"/>
      <c r="I19" s="3" t="s">
        <v>76</v>
      </c>
      <c r="J19" s="3" t="s">
        <v>77</v>
      </c>
      <c r="K19" s="3"/>
      <c r="L19" s="3"/>
    </row>
    <row r="20" spans="1:12" x14ac:dyDescent="0.25">
      <c r="A20">
        <v>19</v>
      </c>
      <c r="B20" s="2" t="s">
        <v>200</v>
      </c>
      <c r="C20" s="2" t="s">
        <v>78</v>
      </c>
      <c r="D20" s="2" t="s">
        <v>79</v>
      </c>
      <c r="E20" s="2">
        <v>5554044565</v>
      </c>
      <c r="F20" s="2" t="s">
        <v>80</v>
      </c>
      <c r="G20" s="3"/>
      <c r="H20" s="3"/>
      <c r="I20" s="3" t="s">
        <v>81</v>
      </c>
      <c r="J20" s="3" t="s">
        <v>27</v>
      </c>
      <c r="K20" s="3"/>
      <c r="L20" s="3"/>
    </row>
    <row r="21" spans="1:12" x14ac:dyDescent="0.25">
      <c r="A21">
        <v>20</v>
      </c>
      <c r="B21" s="2" t="s">
        <v>201</v>
      </c>
      <c r="C21" s="2" t="s">
        <v>82</v>
      </c>
      <c r="D21" s="2" t="s">
        <v>83</v>
      </c>
      <c r="E21" s="2">
        <v>7774502617</v>
      </c>
      <c r="F21" s="2" t="s">
        <v>84</v>
      </c>
      <c r="G21" s="3">
        <v>89</v>
      </c>
      <c r="H21" s="3" t="s">
        <v>85</v>
      </c>
      <c r="I21" s="3" t="s">
        <v>86</v>
      </c>
      <c r="J21" s="3" t="s">
        <v>16</v>
      </c>
      <c r="K21" s="3"/>
      <c r="L21" s="3"/>
    </row>
    <row r="22" spans="1:12" x14ac:dyDescent="0.25">
      <c r="A22">
        <v>21</v>
      </c>
      <c r="B22" s="2" t="s">
        <v>200</v>
      </c>
      <c r="C22" s="2" t="s">
        <v>87</v>
      </c>
      <c r="D22" s="2" t="s">
        <v>88</v>
      </c>
      <c r="E22" s="2">
        <v>7772412349</v>
      </c>
      <c r="F22" s="2" t="s">
        <v>53</v>
      </c>
      <c r="G22" s="3">
        <v>111</v>
      </c>
      <c r="H22" s="3"/>
      <c r="I22" s="3" t="s">
        <v>15</v>
      </c>
      <c r="J22" s="3" t="s">
        <v>16</v>
      </c>
      <c r="K22" s="3"/>
      <c r="L22" s="3">
        <v>62498</v>
      </c>
    </row>
    <row r="23" spans="1:12" x14ac:dyDescent="0.25">
      <c r="A23">
        <v>22</v>
      </c>
      <c r="B23" s="2" t="s">
        <v>90</v>
      </c>
      <c r="C23" s="2" t="s">
        <v>89</v>
      </c>
      <c r="D23" s="2" t="s">
        <v>90</v>
      </c>
      <c r="E23" s="2">
        <v>5517713415</v>
      </c>
      <c r="F23" s="2" t="s">
        <v>91</v>
      </c>
      <c r="G23" s="3">
        <v>137</v>
      </c>
      <c r="H23" s="3"/>
      <c r="I23" s="3" t="s">
        <v>92</v>
      </c>
      <c r="J23" s="3" t="s">
        <v>16</v>
      </c>
      <c r="K23" s="3"/>
      <c r="L23" s="3"/>
    </row>
    <row r="24" spans="1:12" x14ac:dyDescent="0.25">
      <c r="A24">
        <v>23</v>
      </c>
      <c r="B24" s="2" t="s">
        <v>94</v>
      </c>
      <c r="C24" s="2" t="s">
        <v>93</v>
      </c>
      <c r="D24" s="2" t="s">
        <v>94</v>
      </c>
      <c r="E24" s="2">
        <v>5525641814</v>
      </c>
      <c r="F24" s="2" t="s">
        <v>95</v>
      </c>
      <c r="G24" s="3">
        <v>51</v>
      </c>
      <c r="H24" s="3" t="s">
        <v>96</v>
      </c>
      <c r="I24" s="3" t="s">
        <v>59</v>
      </c>
      <c r="J24" s="3" t="s">
        <v>16</v>
      </c>
      <c r="K24" s="3"/>
      <c r="L24" s="3">
        <v>62448</v>
      </c>
    </row>
    <row r="25" spans="1:12" x14ac:dyDescent="0.25">
      <c r="A25">
        <v>24</v>
      </c>
      <c r="B25" s="2" t="s">
        <v>98</v>
      </c>
      <c r="C25" s="2" t="s">
        <v>97</v>
      </c>
      <c r="D25" s="2" t="s">
        <v>98</v>
      </c>
      <c r="E25" s="2">
        <v>7771630575</v>
      </c>
      <c r="F25" s="2" t="s">
        <v>84</v>
      </c>
      <c r="G25" s="3">
        <v>89</v>
      </c>
      <c r="H25" s="3" t="s">
        <v>99</v>
      </c>
      <c r="I25" s="3" t="s">
        <v>86</v>
      </c>
      <c r="J25" s="3" t="s">
        <v>16</v>
      </c>
      <c r="K25" s="3"/>
      <c r="L25" s="3"/>
    </row>
    <row r="26" spans="1:12" x14ac:dyDescent="0.25">
      <c r="A26">
        <v>25</v>
      </c>
      <c r="B26" s="2" t="s">
        <v>101</v>
      </c>
      <c r="C26" s="2" t="s">
        <v>100</v>
      </c>
      <c r="D26" s="2" t="s">
        <v>101</v>
      </c>
      <c r="E26" s="2">
        <v>5518494584</v>
      </c>
      <c r="F26" s="2" t="s">
        <v>14</v>
      </c>
      <c r="G26" s="3">
        <v>212</v>
      </c>
      <c r="H26" s="3"/>
      <c r="I26" s="3" t="s">
        <v>15</v>
      </c>
      <c r="J26" s="3" t="s">
        <v>16</v>
      </c>
      <c r="K26" s="3"/>
      <c r="L26" s="3">
        <v>62498</v>
      </c>
    </row>
    <row r="27" spans="1:12" x14ac:dyDescent="0.25">
      <c r="A27">
        <v>26</v>
      </c>
      <c r="B27" s="2" t="s">
        <v>32</v>
      </c>
      <c r="C27" s="2" t="s">
        <v>102</v>
      </c>
      <c r="D27" s="2" t="s">
        <v>32</v>
      </c>
      <c r="E27" s="2">
        <v>5555024691</v>
      </c>
      <c r="F27" s="2" t="s">
        <v>103</v>
      </c>
      <c r="G27" s="3">
        <v>920</v>
      </c>
      <c r="H27" s="3" t="s">
        <v>104</v>
      </c>
      <c r="I27" s="3" t="s">
        <v>35</v>
      </c>
      <c r="J27" s="3" t="s">
        <v>16</v>
      </c>
      <c r="K27" s="3"/>
      <c r="L27" s="3">
        <v>62290</v>
      </c>
    </row>
    <row r="28" spans="1:12" x14ac:dyDescent="0.25">
      <c r="A28">
        <v>27</v>
      </c>
      <c r="B28" s="2" t="s">
        <v>106</v>
      </c>
      <c r="C28" s="2" t="s">
        <v>105</v>
      </c>
      <c r="D28" s="2" t="s">
        <v>106</v>
      </c>
      <c r="E28" s="2">
        <v>7771359025</v>
      </c>
      <c r="F28" s="2" t="s">
        <v>107</v>
      </c>
      <c r="G28" s="3">
        <v>2</v>
      </c>
      <c r="H28" s="3"/>
      <c r="I28" s="3" t="s">
        <v>108</v>
      </c>
      <c r="J28" s="3" t="s">
        <v>16</v>
      </c>
      <c r="K28" s="3"/>
      <c r="L28" s="3">
        <v>62158</v>
      </c>
    </row>
    <row r="29" spans="1:12" x14ac:dyDescent="0.25">
      <c r="A29">
        <v>28</v>
      </c>
      <c r="B29" s="2" t="s">
        <v>110</v>
      </c>
      <c r="C29" s="2" t="s">
        <v>109</v>
      </c>
      <c r="D29" s="2" t="s">
        <v>110</v>
      </c>
      <c r="E29" s="2">
        <v>7773273910</v>
      </c>
      <c r="F29" s="2" t="s">
        <v>76</v>
      </c>
      <c r="G29" s="3"/>
      <c r="H29" s="3"/>
      <c r="I29" s="3" t="s">
        <v>76</v>
      </c>
      <c r="J29" s="3" t="s">
        <v>16</v>
      </c>
      <c r="K29" s="3"/>
      <c r="L29" s="3"/>
    </row>
    <row r="30" spans="1:12" x14ac:dyDescent="0.25">
      <c r="A30">
        <v>29</v>
      </c>
      <c r="B30" s="2" t="s">
        <v>112</v>
      </c>
      <c r="C30" s="2" t="s">
        <v>111</v>
      </c>
      <c r="D30" s="2" t="s">
        <v>112</v>
      </c>
      <c r="E30" s="2">
        <v>9512434278</v>
      </c>
      <c r="F30" s="2" t="s">
        <v>76</v>
      </c>
      <c r="G30" s="3"/>
      <c r="H30" s="3"/>
      <c r="I30" s="3" t="s">
        <v>76</v>
      </c>
      <c r="J30" s="3" t="s">
        <v>76</v>
      </c>
      <c r="K30" s="3"/>
      <c r="L30" s="3"/>
    </row>
    <row r="31" spans="1:12" x14ac:dyDescent="0.25">
      <c r="A31">
        <v>30</v>
      </c>
      <c r="B31" s="2" t="s">
        <v>114</v>
      </c>
      <c r="C31" s="2" t="s">
        <v>113</v>
      </c>
      <c r="D31" s="2" t="s">
        <v>114</v>
      </c>
      <c r="E31" s="2">
        <v>7772885185</v>
      </c>
      <c r="F31" s="2" t="s">
        <v>53</v>
      </c>
      <c r="G31" s="3">
        <v>201</v>
      </c>
      <c r="H31" s="3"/>
      <c r="I31" s="3" t="s">
        <v>15</v>
      </c>
      <c r="J31" s="3" t="s">
        <v>16</v>
      </c>
      <c r="K31" s="3"/>
      <c r="L31" s="3">
        <v>62498</v>
      </c>
    </row>
    <row r="32" spans="1:12" x14ac:dyDescent="0.25">
      <c r="A32">
        <v>31</v>
      </c>
      <c r="B32" s="2" t="s">
        <v>116</v>
      </c>
      <c r="C32" s="2" t="s">
        <v>115</v>
      </c>
      <c r="D32" s="2" t="s">
        <v>116</v>
      </c>
      <c r="E32" s="2">
        <v>7351029117</v>
      </c>
      <c r="F32" s="2" t="s">
        <v>117</v>
      </c>
      <c r="G32" s="3">
        <v>56</v>
      </c>
      <c r="H32" s="3">
        <v>2</v>
      </c>
      <c r="I32" s="3" t="s">
        <v>43</v>
      </c>
      <c r="J32" s="3" t="s">
        <v>16</v>
      </c>
      <c r="K32" s="3"/>
      <c r="L32" s="3">
        <v>62490</v>
      </c>
    </row>
    <row r="33" spans="1:12" x14ac:dyDescent="0.25">
      <c r="A33">
        <v>32</v>
      </c>
      <c r="B33" s="2" t="s">
        <v>119</v>
      </c>
      <c r="C33" s="2" t="s">
        <v>118</v>
      </c>
      <c r="D33" s="2" t="s">
        <v>119</v>
      </c>
      <c r="E33" s="2">
        <v>5534740681</v>
      </c>
      <c r="F33" s="2" t="s">
        <v>14</v>
      </c>
      <c r="G33" s="3">
        <v>218</v>
      </c>
      <c r="H33" s="3"/>
      <c r="I33" s="3" t="s">
        <v>15</v>
      </c>
      <c r="J33" s="3" t="s">
        <v>16</v>
      </c>
      <c r="K33" s="3"/>
      <c r="L33" s="3">
        <v>62498</v>
      </c>
    </row>
    <row r="34" spans="1:12" x14ac:dyDescent="0.25">
      <c r="A34">
        <v>33</v>
      </c>
      <c r="B34" s="2" t="s">
        <v>120</v>
      </c>
      <c r="C34" s="2" t="s">
        <v>21</v>
      </c>
      <c r="D34" s="2" t="s">
        <v>120</v>
      </c>
      <c r="E34" s="2">
        <v>5554191200</v>
      </c>
      <c r="F34" s="2" t="s">
        <v>76</v>
      </c>
      <c r="G34" s="3"/>
      <c r="H34" s="3"/>
      <c r="I34" s="3" t="s">
        <v>121</v>
      </c>
      <c r="J34" s="3" t="s">
        <v>122</v>
      </c>
      <c r="K34" s="3"/>
      <c r="L34" s="3"/>
    </row>
    <row r="35" spans="1:12" x14ac:dyDescent="0.25">
      <c r="A35">
        <v>34</v>
      </c>
      <c r="B35" s="2" t="s">
        <v>202</v>
      </c>
      <c r="C35" s="2" t="s">
        <v>123</v>
      </c>
      <c r="D35" s="2" t="s">
        <v>123</v>
      </c>
      <c r="E35" s="2">
        <v>7393933293</v>
      </c>
      <c r="F35" s="2" t="s">
        <v>124</v>
      </c>
      <c r="G35" s="3" t="s">
        <v>58</v>
      </c>
      <c r="H35" s="3"/>
      <c r="I35" s="3" t="s">
        <v>125</v>
      </c>
      <c r="J35" s="3" t="s">
        <v>77</v>
      </c>
      <c r="K35" s="3"/>
      <c r="L35" s="3">
        <v>62425</v>
      </c>
    </row>
    <row r="36" spans="1:12" x14ac:dyDescent="0.25">
      <c r="A36">
        <v>35</v>
      </c>
      <c r="B36" s="2" t="s">
        <v>119</v>
      </c>
      <c r="C36" s="2" t="s">
        <v>126</v>
      </c>
      <c r="D36" s="2" t="s">
        <v>119</v>
      </c>
      <c r="E36" s="2">
        <v>7773041345</v>
      </c>
      <c r="F36" s="2" t="s">
        <v>127</v>
      </c>
      <c r="G36" s="3">
        <v>206</v>
      </c>
      <c r="H36" s="3">
        <v>12</v>
      </c>
      <c r="I36" s="3" t="s">
        <v>128</v>
      </c>
      <c r="J36" s="3" t="s">
        <v>16</v>
      </c>
      <c r="K36" s="3"/>
      <c r="L36" s="3"/>
    </row>
    <row r="37" spans="1:12" x14ac:dyDescent="0.25">
      <c r="A37">
        <v>36</v>
      </c>
      <c r="B37" s="2" t="s">
        <v>98</v>
      </c>
      <c r="C37" s="2" t="s">
        <v>129</v>
      </c>
      <c r="D37" s="2" t="s">
        <v>98</v>
      </c>
      <c r="E37" s="2">
        <v>7772353395</v>
      </c>
      <c r="F37" s="2" t="s">
        <v>130</v>
      </c>
      <c r="G37" s="3">
        <v>226</v>
      </c>
      <c r="H37" s="3"/>
      <c r="I37" s="3" t="s">
        <v>131</v>
      </c>
      <c r="J37" s="3" t="s">
        <v>16</v>
      </c>
      <c r="K37" s="3"/>
      <c r="L37" s="3">
        <v>62343</v>
      </c>
    </row>
    <row r="38" spans="1:12" x14ac:dyDescent="0.25">
      <c r="A38">
        <v>37</v>
      </c>
      <c r="B38" s="2" t="s">
        <v>133</v>
      </c>
      <c r="C38" s="2" t="s">
        <v>132</v>
      </c>
      <c r="D38" s="2" t="s">
        <v>133</v>
      </c>
      <c r="E38" s="2">
        <v>5554940625</v>
      </c>
      <c r="F38" s="2" t="s">
        <v>134</v>
      </c>
      <c r="G38" s="3"/>
      <c r="H38" s="3"/>
      <c r="I38" s="3" t="s">
        <v>76</v>
      </c>
      <c r="J38" s="3" t="s">
        <v>76</v>
      </c>
      <c r="K38" s="3"/>
      <c r="L38" s="3"/>
    </row>
    <row r="39" spans="1:12" x14ac:dyDescent="0.25">
      <c r="A39">
        <v>38</v>
      </c>
      <c r="B39" s="2" t="s">
        <v>136</v>
      </c>
      <c r="C39" s="2" t="s">
        <v>135</v>
      </c>
      <c r="D39" s="2" t="s">
        <v>136</v>
      </c>
      <c r="E39" s="2">
        <v>5523084087</v>
      </c>
      <c r="F39" s="2" t="s">
        <v>14</v>
      </c>
      <c r="G39" s="3">
        <v>109</v>
      </c>
      <c r="H39" s="3"/>
      <c r="I39" s="3" t="s">
        <v>15</v>
      </c>
      <c r="J39" s="3" t="s">
        <v>16</v>
      </c>
      <c r="K39" s="3"/>
      <c r="L39" s="3">
        <v>624989</v>
      </c>
    </row>
    <row r="40" spans="1:12" x14ac:dyDescent="0.25">
      <c r="A40">
        <v>39</v>
      </c>
      <c r="B40" s="2" t="s">
        <v>138</v>
      </c>
      <c r="C40" s="2" t="s">
        <v>137</v>
      </c>
      <c r="D40" s="2" t="s">
        <v>138</v>
      </c>
      <c r="E40" s="2">
        <v>5540983239</v>
      </c>
      <c r="F40" s="2" t="s">
        <v>139</v>
      </c>
      <c r="G40" s="3">
        <v>38</v>
      </c>
      <c r="H40" s="3"/>
      <c r="I40" s="3" t="s">
        <v>140</v>
      </c>
      <c r="J40" s="3" t="s">
        <v>141</v>
      </c>
      <c r="K40" s="3"/>
      <c r="L40" s="3"/>
    </row>
    <row r="41" spans="1:12" x14ac:dyDescent="0.25">
      <c r="A41">
        <v>40</v>
      </c>
      <c r="B41" s="2" t="s">
        <v>142</v>
      </c>
      <c r="C41" s="2" t="s">
        <v>97</v>
      </c>
      <c r="D41" s="2" t="s">
        <v>142</v>
      </c>
      <c r="E41" s="2">
        <v>7775640256</v>
      </c>
      <c r="F41" s="2" t="s">
        <v>76</v>
      </c>
      <c r="G41" s="3"/>
      <c r="H41" s="3"/>
      <c r="I41" s="3" t="s">
        <v>143</v>
      </c>
      <c r="J41" s="3" t="s">
        <v>16</v>
      </c>
      <c r="K41" s="3"/>
      <c r="L41" s="3"/>
    </row>
    <row r="42" spans="1:12" x14ac:dyDescent="0.25">
      <c r="A42">
        <v>41</v>
      </c>
      <c r="B42" s="2" t="s">
        <v>145</v>
      </c>
      <c r="C42" s="2" t="s">
        <v>144</v>
      </c>
      <c r="D42" s="2" t="s">
        <v>145</v>
      </c>
      <c r="E42" s="2">
        <v>5522709863</v>
      </c>
      <c r="F42" s="2" t="s">
        <v>146</v>
      </c>
      <c r="G42" s="3"/>
      <c r="H42" s="3" t="s">
        <v>147</v>
      </c>
      <c r="I42" s="3" t="s">
        <v>148</v>
      </c>
      <c r="J42" s="3" t="s">
        <v>16</v>
      </c>
      <c r="K42" s="3"/>
      <c r="L42" s="3"/>
    </row>
    <row r="43" spans="1:12" x14ac:dyDescent="0.25">
      <c r="A43">
        <v>42</v>
      </c>
      <c r="B43" s="2" t="s">
        <v>150</v>
      </c>
      <c r="C43" s="2" t="s">
        <v>149</v>
      </c>
      <c r="D43" s="2" t="s">
        <v>150</v>
      </c>
      <c r="E43" s="2">
        <v>7771202156</v>
      </c>
      <c r="F43" s="2" t="s">
        <v>95</v>
      </c>
      <c r="G43" s="3">
        <v>37</v>
      </c>
      <c r="H43" s="3"/>
      <c r="I43" s="3" t="s">
        <v>59</v>
      </c>
      <c r="J43" s="3" t="s">
        <v>16</v>
      </c>
      <c r="K43" s="3"/>
      <c r="L43" s="3"/>
    </row>
    <row r="44" spans="1:12" x14ac:dyDescent="0.25">
      <c r="A44">
        <v>43</v>
      </c>
      <c r="B44" s="2" t="s">
        <v>152</v>
      </c>
      <c r="C44" s="2" t="s">
        <v>151</v>
      </c>
      <c r="D44" s="2" t="s">
        <v>152</v>
      </c>
      <c r="E44" s="2">
        <v>7773281164</v>
      </c>
      <c r="F44" s="2" t="s">
        <v>153</v>
      </c>
      <c r="G44" s="3">
        <v>25</v>
      </c>
      <c r="H44" s="3" t="s">
        <v>154</v>
      </c>
      <c r="I44" s="3" t="s">
        <v>155</v>
      </c>
      <c r="J44" s="3" t="s">
        <v>16</v>
      </c>
      <c r="K44" s="3"/>
      <c r="L44" s="3"/>
    </row>
    <row r="45" spans="1:12" x14ac:dyDescent="0.25">
      <c r="A45">
        <v>44</v>
      </c>
      <c r="B45" s="2" t="s">
        <v>18</v>
      </c>
      <c r="C45" s="2" t="s">
        <v>89</v>
      </c>
      <c r="D45" s="2" t="s">
        <v>156</v>
      </c>
      <c r="E45" s="2">
        <v>7772337583</v>
      </c>
      <c r="F45" s="2" t="s">
        <v>76</v>
      </c>
      <c r="G45" s="3"/>
      <c r="H45" s="3"/>
      <c r="I45" s="3" t="s">
        <v>76</v>
      </c>
      <c r="J45" s="3" t="s">
        <v>16</v>
      </c>
      <c r="K45" s="3"/>
      <c r="L45" s="3"/>
    </row>
    <row r="46" spans="1:12" x14ac:dyDescent="0.25">
      <c r="A46">
        <v>45</v>
      </c>
      <c r="B46" s="2" t="s">
        <v>158</v>
      </c>
      <c r="C46" s="2" t="s">
        <v>157</v>
      </c>
      <c r="D46" s="2" t="s">
        <v>158</v>
      </c>
      <c r="E46" s="2">
        <v>7772571814</v>
      </c>
      <c r="F46" s="2" t="s">
        <v>53</v>
      </c>
      <c r="G46" s="3" t="s">
        <v>159</v>
      </c>
      <c r="H46" s="3" t="s">
        <v>160</v>
      </c>
      <c r="I46" s="3" t="s">
        <v>15</v>
      </c>
      <c r="J46" s="3" t="s">
        <v>16</v>
      </c>
      <c r="K46" s="3"/>
      <c r="L46" s="3"/>
    </row>
    <row r="47" spans="1:12" x14ac:dyDescent="0.25">
      <c r="A47">
        <v>46</v>
      </c>
      <c r="B47" s="2" t="s">
        <v>203</v>
      </c>
      <c r="C47" s="2" t="s">
        <v>161</v>
      </c>
      <c r="D47" s="2" t="s">
        <v>162</v>
      </c>
      <c r="E47" s="2">
        <v>7773715098</v>
      </c>
      <c r="F47" s="2" t="s">
        <v>163</v>
      </c>
      <c r="G47" s="3">
        <v>19</v>
      </c>
      <c r="H47" s="3"/>
      <c r="I47" s="3" t="s">
        <v>164</v>
      </c>
      <c r="J47" s="3" t="s">
        <v>16</v>
      </c>
      <c r="K47" s="3"/>
      <c r="L47" s="3"/>
    </row>
    <row r="48" spans="1:12" x14ac:dyDescent="0.25">
      <c r="A48">
        <v>47</v>
      </c>
      <c r="B48" s="2" t="s">
        <v>204</v>
      </c>
      <c r="C48" s="2" t="s">
        <v>165</v>
      </c>
      <c r="D48" s="2" t="s">
        <v>166</v>
      </c>
      <c r="E48" s="2">
        <v>7771205819</v>
      </c>
      <c r="F48" s="2" t="s">
        <v>117</v>
      </c>
      <c r="G48" s="3">
        <v>105</v>
      </c>
      <c r="H48" s="3" t="s">
        <v>25</v>
      </c>
      <c r="I48" s="3" t="s">
        <v>167</v>
      </c>
      <c r="J48" s="3" t="s">
        <v>16</v>
      </c>
      <c r="K48" s="3"/>
      <c r="L48" s="3"/>
    </row>
    <row r="49" spans="1:12" x14ac:dyDescent="0.25">
      <c r="A49">
        <v>48</v>
      </c>
      <c r="B49" s="2" t="s">
        <v>90</v>
      </c>
      <c r="C49" s="2" t="s">
        <v>168</v>
      </c>
      <c r="D49" s="2" t="s">
        <v>90</v>
      </c>
      <c r="E49" s="2">
        <v>7771348196</v>
      </c>
      <c r="F49" s="2" t="s">
        <v>169</v>
      </c>
      <c r="G49" s="3">
        <v>305</v>
      </c>
      <c r="H49" s="3" t="s">
        <v>170</v>
      </c>
      <c r="I49" s="3" t="s">
        <v>171</v>
      </c>
      <c r="J49" s="3" t="s">
        <v>16</v>
      </c>
      <c r="K49" s="3"/>
      <c r="L49" s="3">
        <v>62290</v>
      </c>
    </row>
    <row r="50" spans="1:12" x14ac:dyDescent="0.25">
      <c r="A50">
        <v>49</v>
      </c>
      <c r="B50" s="2" t="s">
        <v>205</v>
      </c>
      <c r="C50" s="2" t="s">
        <v>172</v>
      </c>
      <c r="D50" s="2" t="s">
        <v>173</v>
      </c>
      <c r="E50" s="2">
        <v>7773103535</v>
      </c>
      <c r="F50" s="2" t="s">
        <v>33</v>
      </c>
      <c r="G50" s="3">
        <v>223</v>
      </c>
      <c r="H50" s="3"/>
      <c r="I50" s="3" t="s">
        <v>35</v>
      </c>
      <c r="J50" s="3" t="s">
        <v>16</v>
      </c>
      <c r="K50" s="3"/>
      <c r="L50" s="3"/>
    </row>
    <row r="51" spans="1:12" x14ac:dyDescent="0.25">
      <c r="A51">
        <v>50</v>
      </c>
      <c r="B51" s="2" t="s">
        <v>205</v>
      </c>
      <c r="C51" s="2" t="s">
        <v>172</v>
      </c>
      <c r="D51" s="2" t="s">
        <v>173</v>
      </c>
      <c r="E51" s="2">
        <v>7773273253</v>
      </c>
      <c r="F51" s="2" t="s">
        <v>174</v>
      </c>
      <c r="G51" s="3">
        <v>33</v>
      </c>
      <c r="H51" s="3"/>
      <c r="I51" s="3" t="s">
        <v>175</v>
      </c>
      <c r="J51" s="3" t="s">
        <v>16</v>
      </c>
      <c r="K51" s="3"/>
      <c r="L51" s="3"/>
    </row>
    <row r="52" spans="1:12" x14ac:dyDescent="0.25">
      <c r="A52">
        <v>51</v>
      </c>
      <c r="B52" s="2" t="s">
        <v>177</v>
      </c>
      <c r="C52" s="2" t="s">
        <v>176</v>
      </c>
      <c r="D52" s="2" t="s">
        <v>177</v>
      </c>
      <c r="E52" s="2">
        <v>7771321059</v>
      </c>
      <c r="F52" s="2" t="s">
        <v>178</v>
      </c>
      <c r="G52" s="3"/>
      <c r="H52" s="3" t="s">
        <v>170</v>
      </c>
      <c r="I52" s="3" t="s">
        <v>35</v>
      </c>
      <c r="J52" s="3" t="s">
        <v>16</v>
      </c>
      <c r="K52" s="3"/>
      <c r="L52" s="3"/>
    </row>
    <row r="53" spans="1:12" x14ac:dyDescent="0.25">
      <c r="A53">
        <v>52</v>
      </c>
      <c r="B53" s="2" t="s">
        <v>65</v>
      </c>
      <c r="C53" s="2" t="s">
        <v>179</v>
      </c>
      <c r="D53" s="2" t="s">
        <v>65</v>
      </c>
      <c r="E53" s="2">
        <v>7773631003</v>
      </c>
      <c r="F53" s="2" t="s">
        <v>180</v>
      </c>
      <c r="G53" s="3">
        <v>20</v>
      </c>
      <c r="H53" s="3"/>
      <c r="I53" s="3" t="s">
        <v>181</v>
      </c>
      <c r="J53" s="3" t="s">
        <v>16</v>
      </c>
      <c r="K53" s="3"/>
      <c r="L53" s="3">
        <v>62100</v>
      </c>
    </row>
    <row r="54" spans="1:12" x14ac:dyDescent="0.25">
      <c r="A54">
        <v>53</v>
      </c>
      <c r="B54" s="2" t="s">
        <v>183</v>
      </c>
      <c r="C54" s="2" t="s">
        <v>182</v>
      </c>
      <c r="D54" s="2" t="s">
        <v>183</v>
      </c>
      <c r="E54" s="2">
        <v>5560660273</v>
      </c>
      <c r="F54" s="2" t="s">
        <v>169</v>
      </c>
      <c r="G54" s="3">
        <v>305</v>
      </c>
      <c r="H54" s="3" t="s">
        <v>46</v>
      </c>
      <c r="I54" s="3" t="s">
        <v>184</v>
      </c>
      <c r="J54" s="3" t="s">
        <v>16</v>
      </c>
      <c r="K54" s="3"/>
      <c r="L54" s="3"/>
    </row>
    <row r="55" spans="1:12" x14ac:dyDescent="0.25">
      <c r="A55">
        <v>54</v>
      </c>
      <c r="B55" s="2" t="s">
        <v>138</v>
      </c>
      <c r="C55" s="2" t="s">
        <v>185</v>
      </c>
      <c r="D55" s="2" t="s">
        <v>138</v>
      </c>
      <c r="E55" s="2">
        <v>7775604294</v>
      </c>
      <c r="F55" s="2" t="s">
        <v>186</v>
      </c>
      <c r="G55" s="3"/>
      <c r="H55" s="3"/>
      <c r="I55" s="3" t="s">
        <v>187</v>
      </c>
      <c r="J55" s="3" t="s">
        <v>16</v>
      </c>
      <c r="K55" s="3"/>
      <c r="L55" s="3"/>
    </row>
    <row r="56" spans="1:12" x14ac:dyDescent="0.25">
      <c r="A56">
        <v>55</v>
      </c>
      <c r="B56" s="2" t="s">
        <v>189</v>
      </c>
      <c r="C56" s="2" t="s">
        <v>188</v>
      </c>
      <c r="D56" s="2" t="s">
        <v>189</v>
      </c>
      <c r="E56" s="2">
        <v>5585565666</v>
      </c>
      <c r="F56" s="2" t="s">
        <v>76</v>
      </c>
      <c r="G56" s="3"/>
      <c r="H56" s="3"/>
      <c r="I56" s="3" t="s">
        <v>76</v>
      </c>
      <c r="J56" s="3" t="s">
        <v>141</v>
      </c>
      <c r="K56" s="3"/>
      <c r="L56" s="3"/>
    </row>
    <row r="57" spans="1:12" x14ac:dyDescent="0.25">
      <c r="A57">
        <v>56</v>
      </c>
      <c r="B57" s="2" t="s">
        <v>191</v>
      </c>
      <c r="C57" s="2" t="s">
        <v>190</v>
      </c>
      <c r="D57" s="2" t="s">
        <v>191</v>
      </c>
      <c r="E57" s="2">
        <v>7771628379</v>
      </c>
      <c r="F57" s="2" t="s">
        <v>192</v>
      </c>
      <c r="G57" s="3">
        <v>34</v>
      </c>
      <c r="H57" s="3"/>
      <c r="I57" s="3" t="s">
        <v>131</v>
      </c>
      <c r="J57" s="3" t="s">
        <v>16</v>
      </c>
      <c r="K57" s="3"/>
      <c r="L57" s="3">
        <v>62343</v>
      </c>
    </row>
    <row r="58" spans="1:12" x14ac:dyDescent="0.25">
      <c r="A58">
        <v>57</v>
      </c>
      <c r="B58" s="2" t="s">
        <v>194</v>
      </c>
      <c r="C58" s="2" t="s">
        <v>193</v>
      </c>
      <c r="D58" s="2" t="s">
        <v>194</v>
      </c>
      <c r="E58" s="2">
        <v>7771514468</v>
      </c>
      <c r="F58" s="2" t="s">
        <v>195</v>
      </c>
      <c r="G58" s="3">
        <v>10</v>
      </c>
      <c r="H58" s="3"/>
      <c r="I58" s="3" t="s">
        <v>59</v>
      </c>
      <c r="J58" s="3" t="s">
        <v>16</v>
      </c>
      <c r="K58" s="3"/>
      <c r="L58" s="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8F24D-503C-4C19-8004-729447A22C83}">
  <sheetPr codeName="Sheet2"/>
  <dimension ref="A1:I22"/>
  <sheetViews>
    <sheetView workbookViewId="0">
      <selection sqref="A1:XFD1"/>
    </sheetView>
  </sheetViews>
  <sheetFormatPr baseColWidth="10" defaultColWidth="9.140625" defaultRowHeight="15" x14ac:dyDescent="0.25"/>
  <cols>
    <col min="5" max="5" width="11.5703125" customWidth="1"/>
    <col min="6" max="6" width="13.42578125" customWidth="1"/>
  </cols>
  <sheetData>
    <row r="1" spans="1:9" s="6" customFormat="1" x14ac:dyDescent="0.25">
      <c r="A1" s="6" t="s">
        <v>206</v>
      </c>
      <c r="B1" s="6" t="s">
        <v>207</v>
      </c>
      <c r="C1" s="6" t="s">
        <v>0</v>
      </c>
      <c r="D1" s="6" t="s">
        <v>208</v>
      </c>
      <c r="E1" s="6" t="s">
        <v>209</v>
      </c>
      <c r="F1" s="6" t="s">
        <v>210</v>
      </c>
      <c r="G1" s="6" t="s">
        <v>211</v>
      </c>
      <c r="H1" s="6" t="s">
        <v>212</v>
      </c>
      <c r="I1" s="6" t="s">
        <v>213</v>
      </c>
    </row>
    <row r="2" spans="1:9" x14ac:dyDescent="0.25">
      <c r="A2" t="s">
        <v>214</v>
      </c>
      <c r="B2" t="s">
        <v>215</v>
      </c>
      <c r="E2" s="3">
        <v>7771050476</v>
      </c>
      <c r="F2" s="3" t="s">
        <v>216</v>
      </c>
      <c r="G2" s="3"/>
    </row>
    <row r="3" spans="1:9" x14ac:dyDescent="0.25">
      <c r="A3" t="s">
        <v>217</v>
      </c>
      <c r="B3" t="s">
        <v>75</v>
      </c>
      <c r="C3" t="s">
        <v>74</v>
      </c>
      <c r="E3" s="3">
        <v>7771363737</v>
      </c>
      <c r="F3" s="3" t="s">
        <v>216</v>
      </c>
      <c r="G3" s="3"/>
    </row>
    <row r="4" spans="1:9" x14ac:dyDescent="0.25">
      <c r="A4" t="s">
        <v>218</v>
      </c>
      <c r="B4" t="s">
        <v>219</v>
      </c>
      <c r="C4" t="s">
        <v>220</v>
      </c>
      <c r="E4" s="3">
        <v>5514743017</v>
      </c>
      <c r="F4" s="3" t="s">
        <v>216</v>
      </c>
      <c r="G4" s="3"/>
    </row>
    <row r="5" spans="1:9" x14ac:dyDescent="0.25">
      <c r="A5" t="s">
        <v>221</v>
      </c>
      <c r="B5" t="s">
        <v>222</v>
      </c>
      <c r="C5" t="s">
        <v>223</v>
      </c>
      <c r="E5" s="3">
        <v>5514743017</v>
      </c>
      <c r="F5" s="3" t="s">
        <v>216</v>
      </c>
      <c r="G5" s="3"/>
    </row>
    <row r="6" spans="1:9" x14ac:dyDescent="0.25">
      <c r="A6" t="s">
        <v>224</v>
      </c>
      <c r="B6" t="s">
        <v>222</v>
      </c>
      <c r="E6" s="3">
        <v>7351639116</v>
      </c>
      <c r="F6" s="3" t="s">
        <v>216</v>
      </c>
      <c r="G6" s="3"/>
    </row>
    <row r="7" spans="1:9" x14ac:dyDescent="0.25">
      <c r="A7" t="s">
        <v>225</v>
      </c>
      <c r="B7" t="s">
        <v>226</v>
      </c>
      <c r="E7" s="3">
        <v>5526614369</v>
      </c>
      <c r="F7" s="3" t="s">
        <v>227</v>
      </c>
      <c r="G7" s="3"/>
    </row>
    <row r="8" spans="1:9" x14ac:dyDescent="0.25">
      <c r="A8" t="s">
        <v>137</v>
      </c>
      <c r="B8" t="s">
        <v>138</v>
      </c>
      <c r="E8" s="3">
        <v>5540983239</v>
      </c>
      <c r="F8" s="3" t="s">
        <v>227</v>
      </c>
      <c r="G8" s="3"/>
    </row>
    <row r="9" spans="1:9" x14ac:dyDescent="0.25">
      <c r="A9" t="s">
        <v>228</v>
      </c>
      <c r="B9" t="s">
        <v>75</v>
      </c>
      <c r="C9" t="s">
        <v>74</v>
      </c>
      <c r="E9" s="3">
        <v>7771363737</v>
      </c>
      <c r="F9" s="3" t="s">
        <v>216</v>
      </c>
      <c r="G9" s="3"/>
    </row>
    <row r="10" spans="1:9" x14ac:dyDescent="0.25">
      <c r="A10" t="s">
        <v>229</v>
      </c>
      <c r="B10" t="s">
        <v>230</v>
      </c>
      <c r="C10" t="s">
        <v>231</v>
      </c>
      <c r="E10" s="3">
        <v>7775921595</v>
      </c>
      <c r="F10" s="3" t="s">
        <v>216</v>
      </c>
      <c r="G10" s="3"/>
    </row>
    <row r="11" spans="1:9" x14ac:dyDescent="0.25">
      <c r="A11" t="s">
        <v>232</v>
      </c>
      <c r="B11" t="s">
        <v>233</v>
      </c>
      <c r="C11" t="s">
        <v>36</v>
      </c>
      <c r="E11" s="3">
        <v>7771628338</v>
      </c>
      <c r="F11" s="3" t="s">
        <v>234</v>
      </c>
      <c r="G11" s="3"/>
    </row>
    <row r="12" spans="1:9" x14ac:dyDescent="0.25">
      <c r="A12" t="s">
        <v>235</v>
      </c>
      <c r="B12" t="s">
        <v>236</v>
      </c>
      <c r="C12" t="s">
        <v>237</v>
      </c>
      <c r="E12" s="3">
        <v>5543573903</v>
      </c>
      <c r="F12" s="3" t="s">
        <v>238</v>
      </c>
      <c r="G12" s="3"/>
    </row>
    <row r="13" spans="1:9" x14ac:dyDescent="0.25">
      <c r="A13" t="s">
        <v>239</v>
      </c>
      <c r="B13" t="s">
        <v>18</v>
      </c>
      <c r="C13" t="s">
        <v>44</v>
      </c>
      <c r="E13" s="3">
        <v>5528555885</v>
      </c>
      <c r="F13" s="3" t="s">
        <v>240</v>
      </c>
      <c r="G13" s="3"/>
    </row>
    <row r="14" spans="1:9" x14ac:dyDescent="0.25">
      <c r="A14" t="s">
        <v>241</v>
      </c>
      <c r="B14" t="s">
        <v>242</v>
      </c>
      <c r="E14" s="3">
        <v>5525591250</v>
      </c>
      <c r="F14" s="3"/>
      <c r="G14" s="3"/>
    </row>
    <row r="15" spans="1:9" x14ac:dyDescent="0.25">
      <c r="A15" t="s">
        <v>243</v>
      </c>
      <c r="B15" t="s">
        <v>244</v>
      </c>
      <c r="E15" s="3">
        <v>5574746787</v>
      </c>
      <c r="F15" s="3"/>
      <c r="G15" s="3"/>
    </row>
    <row r="16" spans="1:9" x14ac:dyDescent="0.25">
      <c r="A16" t="s">
        <v>245</v>
      </c>
      <c r="B16" t="s">
        <v>246</v>
      </c>
      <c r="E16" s="3">
        <v>5541920246</v>
      </c>
      <c r="F16" s="3"/>
      <c r="G16" s="3"/>
    </row>
    <row r="17" spans="1:7" x14ac:dyDescent="0.25">
      <c r="A17" t="s">
        <v>247</v>
      </c>
      <c r="B17" t="s">
        <v>248</v>
      </c>
      <c r="E17" s="3">
        <v>7773323086</v>
      </c>
      <c r="F17" s="3" t="s">
        <v>216</v>
      </c>
      <c r="G17" s="3"/>
    </row>
    <row r="18" spans="1:7" x14ac:dyDescent="0.25">
      <c r="A18" t="s">
        <v>249</v>
      </c>
      <c r="B18" t="s">
        <v>250</v>
      </c>
      <c r="E18" s="3">
        <v>9991214460</v>
      </c>
      <c r="F18" s="3" t="s">
        <v>251</v>
      </c>
      <c r="G18" s="3"/>
    </row>
    <row r="19" spans="1:7" x14ac:dyDescent="0.25">
      <c r="A19" t="s">
        <v>252</v>
      </c>
      <c r="B19" t="s">
        <v>18</v>
      </c>
      <c r="C19" t="s">
        <v>44</v>
      </c>
      <c r="E19" s="3">
        <v>5528555885</v>
      </c>
      <c r="F19" s="3" t="s">
        <v>240</v>
      </c>
      <c r="G19" s="3"/>
    </row>
    <row r="20" spans="1:7" x14ac:dyDescent="0.25">
      <c r="A20" t="s">
        <v>253</v>
      </c>
      <c r="B20" t="s">
        <v>254</v>
      </c>
      <c r="C20" t="s">
        <v>255</v>
      </c>
      <c r="E20" s="3">
        <v>7774932709</v>
      </c>
      <c r="F20" s="3" t="s">
        <v>216</v>
      </c>
      <c r="G20" s="3"/>
    </row>
    <row r="21" spans="1:7" x14ac:dyDescent="0.25">
      <c r="A21" t="s">
        <v>256</v>
      </c>
      <c r="B21" t="s">
        <v>257</v>
      </c>
      <c r="C21" t="s">
        <v>258</v>
      </c>
      <c r="E21" s="3">
        <v>7772679649</v>
      </c>
      <c r="F21" s="3" t="s">
        <v>216</v>
      </c>
      <c r="G21" s="3"/>
    </row>
    <row r="22" spans="1:7" x14ac:dyDescent="0.25">
      <c r="A22" t="s">
        <v>259</v>
      </c>
      <c r="B22" t="s">
        <v>260</v>
      </c>
      <c r="E22" s="3">
        <v>5547770459</v>
      </c>
      <c r="F22" s="3" t="s">
        <v>261</v>
      </c>
      <c r="G22" s="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B2CF-CEE1-497F-B5AC-CD47F5ACB367}">
  <sheetPr codeName="Sheet3"/>
  <dimension ref="A1:L124"/>
  <sheetViews>
    <sheetView workbookViewId="0">
      <selection activeCell="C13" sqref="C13"/>
    </sheetView>
  </sheetViews>
  <sheetFormatPr baseColWidth="10" defaultColWidth="9.140625" defaultRowHeight="15" x14ac:dyDescent="0.25"/>
  <cols>
    <col min="1" max="1" width="13.42578125" style="6" bestFit="1" customWidth="1"/>
    <col min="2" max="2" width="41" style="6" bestFit="1" customWidth="1"/>
    <col min="3" max="3" width="12.140625" style="6" bestFit="1" customWidth="1"/>
    <col min="4" max="4" width="9.7109375" style="6" bestFit="1" customWidth="1"/>
    <col min="5" max="5" width="6.5703125" style="6" bestFit="1" customWidth="1"/>
    <col min="6" max="6" width="8.85546875" style="6" bestFit="1" customWidth="1"/>
    <col min="7" max="7" width="11.7109375" style="6" bestFit="1" customWidth="1"/>
    <col min="8" max="8" width="17.28515625" style="6" bestFit="1" customWidth="1"/>
    <col min="9" max="9" width="9.140625" style="6"/>
    <col min="10" max="10" width="6.85546875" style="6" bestFit="1" customWidth="1"/>
    <col min="11" max="11" width="11.28515625" style="6" bestFit="1" customWidth="1"/>
    <col min="12" max="12" width="22.5703125" style="6" bestFit="1" customWidth="1"/>
    <col min="13" max="16384" width="9.140625" style="6"/>
  </cols>
  <sheetData>
    <row r="1" spans="1:12" x14ac:dyDescent="0.25">
      <c r="A1" s="6" t="s">
        <v>262</v>
      </c>
      <c r="B1" s="7" t="s">
        <v>197</v>
      </c>
      <c r="C1" s="7" t="s">
        <v>430</v>
      </c>
      <c r="D1" s="7" t="s">
        <v>264</v>
      </c>
      <c r="E1" s="7" t="s">
        <v>265</v>
      </c>
      <c r="F1" s="7" t="s">
        <v>266</v>
      </c>
      <c r="G1" s="7" t="s">
        <v>267</v>
      </c>
      <c r="H1" s="7" t="s">
        <v>268</v>
      </c>
      <c r="I1" s="7" t="s">
        <v>8</v>
      </c>
      <c r="J1" s="7" t="s">
        <v>10</v>
      </c>
      <c r="K1" s="7" t="s">
        <v>212</v>
      </c>
      <c r="L1" s="7" t="s">
        <v>213</v>
      </c>
    </row>
    <row r="2" spans="1:12" x14ac:dyDescent="0.25">
      <c r="A2" s="6">
        <v>1</v>
      </c>
      <c r="B2" s="7" t="s">
        <v>269</v>
      </c>
      <c r="C2" s="7"/>
      <c r="D2" s="7" t="s">
        <v>270</v>
      </c>
      <c r="E2" s="7">
        <v>70</v>
      </c>
      <c r="F2" s="7"/>
      <c r="G2" s="7"/>
    </row>
    <row r="3" spans="1:12" x14ac:dyDescent="0.25">
      <c r="A3" s="6">
        <v>2</v>
      </c>
      <c r="B3" s="7" t="s">
        <v>271</v>
      </c>
      <c r="C3" s="7">
        <v>1</v>
      </c>
      <c r="D3" s="7" t="s">
        <v>272</v>
      </c>
      <c r="E3" s="7">
        <v>55</v>
      </c>
      <c r="F3" s="7"/>
      <c r="G3" s="7"/>
    </row>
    <row r="4" spans="1:12" x14ac:dyDescent="0.25">
      <c r="A4" s="6">
        <v>3</v>
      </c>
      <c r="B4" s="7" t="s">
        <v>273</v>
      </c>
      <c r="C4" s="7"/>
      <c r="D4" s="7" t="s">
        <v>270</v>
      </c>
      <c r="E4" s="7">
        <v>25</v>
      </c>
      <c r="F4" s="7"/>
      <c r="G4" s="7"/>
    </row>
    <row r="5" spans="1:12" x14ac:dyDescent="0.25">
      <c r="A5" s="6">
        <v>4</v>
      </c>
      <c r="B5" s="7" t="s">
        <v>274</v>
      </c>
      <c r="C5" s="7"/>
      <c r="D5" s="7" t="s">
        <v>270</v>
      </c>
      <c r="E5" s="7">
        <v>40</v>
      </c>
      <c r="F5" s="7"/>
      <c r="G5" s="7"/>
    </row>
    <row r="6" spans="1:12" x14ac:dyDescent="0.25">
      <c r="A6" s="6">
        <v>5</v>
      </c>
      <c r="B6" s="7" t="s">
        <v>275</v>
      </c>
      <c r="C6" s="7">
        <v>-0.6</v>
      </c>
      <c r="D6" s="7" t="s">
        <v>270</v>
      </c>
      <c r="E6" s="7">
        <v>450</v>
      </c>
      <c r="F6" s="7"/>
      <c r="G6" s="7"/>
    </row>
    <row r="7" spans="1:12" x14ac:dyDescent="0.25">
      <c r="A7" s="6">
        <v>6</v>
      </c>
      <c r="B7" s="7" t="s">
        <v>276</v>
      </c>
      <c r="C7" s="7"/>
      <c r="D7" s="7" t="s">
        <v>270</v>
      </c>
      <c r="E7" s="7">
        <v>40</v>
      </c>
      <c r="F7" s="7"/>
      <c r="G7" s="7"/>
    </row>
    <row r="8" spans="1:12" x14ac:dyDescent="0.25">
      <c r="A8" s="6">
        <v>7</v>
      </c>
      <c r="B8" s="7" t="s">
        <v>277</v>
      </c>
      <c r="C8" s="7"/>
      <c r="D8" s="7" t="s">
        <v>270</v>
      </c>
      <c r="E8" s="7">
        <v>35</v>
      </c>
      <c r="F8" s="7"/>
      <c r="G8" s="7"/>
    </row>
    <row r="9" spans="1:12" x14ac:dyDescent="0.25">
      <c r="A9" s="6">
        <v>8</v>
      </c>
      <c r="B9" s="7" t="s">
        <v>278</v>
      </c>
      <c r="C9" s="7"/>
      <c r="D9" s="7" t="s">
        <v>270</v>
      </c>
      <c r="E9" s="7">
        <v>37</v>
      </c>
      <c r="F9" s="7"/>
      <c r="G9" s="7"/>
    </row>
    <row r="10" spans="1:12" x14ac:dyDescent="0.25">
      <c r="A10" s="6">
        <v>9</v>
      </c>
      <c r="B10" s="7" t="s">
        <v>279</v>
      </c>
      <c r="C10" s="7"/>
      <c r="D10" s="7" t="s">
        <v>280</v>
      </c>
      <c r="E10" s="7">
        <v>10</v>
      </c>
      <c r="F10" s="7"/>
      <c r="G10" s="7"/>
    </row>
    <row r="11" spans="1:12" x14ac:dyDescent="0.25">
      <c r="A11" s="6">
        <v>10</v>
      </c>
      <c r="B11" s="7" t="s">
        <v>281</v>
      </c>
      <c r="C11" s="7"/>
      <c r="D11" s="7" t="s">
        <v>270</v>
      </c>
      <c r="E11" s="7">
        <v>35</v>
      </c>
      <c r="F11" s="7"/>
      <c r="G11" s="7"/>
    </row>
    <row r="12" spans="1:12" x14ac:dyDescent="0.25">
      <c r="A12" s="6">
        <v>11</v>
      </c>
      <c r="B12" s="7" t="s">
        <v>282</v>
      </c>
      <c r="C12" s="7"/>
      <c r="D12" s="7" t="s">
        <v>270</v>
      </c>
      <c r="E12" s="7">
        <v>33</v>
      </c>
      <c r="F12" s="7"/>
      <c r="G12" s="7"/>
    </row>
    <row r="13" spans="1:12" x14ac:dyDescent="0.25">
      <c r="A13" s="6">
        <v>12</v>
      </c>
      <c r="B13" s="7" t="s">
        <v>283</v>
      </c>
      <c r="C13" s="7"/>
      <c r="D13" s="7" t="s">
        <v>270</v>
      </c>
      <c r="E13" s="7">
        <v>100</v>
      </c>
      <c r="F13" s="7"/>
      <c r="G13" s="7"/>
    </row>
    <row r="14" spans="1:12" x14ac:dyDescent="0.25">
      <c r="A14" s="6">
        <v>13</v>
      </c>
      <c r="B14" s="7" t="s">
        <v>284</v>
      </c>
      <c r="C14" s="7"/>
      <c r="D14" s="7" t="s">
        <v>285</v>
      </c>
      <c r="E14" s="7">
        <v>60</v>
      </c>
      <c r="F14" s="7"/>
      <c r="G14" s="7"/>
    </row>
    <row r="15" spans="1:12" x14ac:dyDescent="0.25">
      <c r="A15" s="6">
        <v>14</v>
      </c>
      <c r="B15" s="7" t="s">
        <v>286</v>
      </c>
      <c r="C15" s="7"/>
      <c r="D15" s="7" t="s">
        <v>270</v>
      </c>
      <c r="E15" s="7">
        <v>44</v>
      </c>
      <c r="F15" s="7"/>
      <c r="G15" s="7"/>
    </row>
    <row r="16" spans="1:12" x14ac:dyDescent="0.25">
      <c r="A16" s="6">
        <v>15</v>
      </c>
      <c r="B16" s="7" t="s">
        <v>287</v>
      </c>
      <c r="C16" s="7"/>
      <c r="D16" s="7" t="s">
        <v>270</v>
      </c>
      <c r="E16" s="7">
        <v>60</v>
      </c>
      <c r="F16" s="7"/>
      <c r="G16" s="7"/>
    </row>
    <row r="17" spans="1:7" x14ac:dyDescent="0.25">
      <c r="A17" s="6">
        <v>16</v>
      </c>
      <c r="B17" s="7" t="s">
        <v>288</v>
      </c>
      <c r="C17" s="7"/>
      <c r="D17" s="7" t="s">
        <v>270</v>
      </c>
      <c r="E17" s="7">
        <v>220</v>
      </c>
      <c r="F17" s="7"/>
      <c r="G17" s="7"/>
    </row>
    <row r="18" spans="1:7" x14ac:dyDescent="0.25">
      <c r="A18" s="6">
        <v>17</v>
      </c>
      <c r="B18" s="7" t="s">
        <v>289</v>
      </c>
      <c r="C18" s="7"/>
      <c r="D18" s="7" t="s">
        <v>270</v>
      </c>
      <c r="E18" s="7">
        <v>45</v>
      </c>
      <c r="F18" s="7"/>
      <c r="G18" s="7"/>
    </row>
    <row r="19" spans="1:7" x14ac:dyDescent="0.25">
      <c r="A19" s="6">
        <v>18</v>
      </c>
      <c r="B19" s="7" t="s">
        <v>290</v>
      </c>
      <c r="C19" s="7">
        <v>-8</v>
      </c>
      <c r="D19" s="7" t="s">
        <v>270</v>
      </c>
      <c r="E19" s="7">
        <v>50</v>
      </c>
      <c r="F19" s="7"/>
      <c r="G19" s="7"/>
    </row>
    <row r="20" spans="1:7" x14ac:dyDescent="0.25">
      <c r="A20" s="6">
        <v>19</v>
      </c>
      <c r="B20" s="7" t="s">
        <v>291</v>
      </c>
      <c r="C20" s="7"/>
      <c r="D20" s="7" t="s">
        <v>270</v>
      </c>
      <c r="E20" s="7">
        <v>50</v>
      </c>
      <c r="F20" s="7"/>
      <c r="G20" s="7"/>
    </row>
    <row r="21" spans="1:7" x14ac:dyDescent="0.25">
      <c r="A21" s="6">
        <v>20</v>
      </c>
      <c r="B21" s="7" t="s">
        <v>292</v>
      </c>
      <c r="C21" s="7"/>
      <c r="D21" s="7" t="s">
        <v>270</v>
      </c>
      <c r="E21" s="7">
        <v>60</v>
      </c>
      <c r="F21" s="7"/>
      <c r="G21" s="7"/>
    </row>
    <row r="22" spans="1:7" x14ac:dyDescent="0.25">
      <c r="A22" s="6">
        <v>21</v>
      </c>
      <c r="B22" s="7" t="s">
        <v>293</v>
      </c>
      <c r="C22" s="7"/>
      <c r="D22" s="7" t="s">
        <v>270</v>
      </c>
      <c r="E22" s="7">
        <v>200</v>
      </c>
      <c r="F22" s="7"/>
      <c r="G22" s="7"/>
    </row>
    <row r="23" spans="1:7" x14ac:dyDescent="0.25">
      <c r="A23" s="6">
        <v>22</v>
      </c>
      <c r="B23" s="7" t="s">
        <v>294</v>
      </c>
      <c r="C23" s="7"/>
      <c r="D23" s="7" t="s">
        <v>270</v>
      </c>
      <c r="E23" s="7">
        <v>200</v>
      </c>
      <c r="F23" s="7"/>
      <c r="G23" s="7"/>
    </row>
    <row r="24" spans="1:7" x14ac:dyDescent="0.25">
      <c r="A24" s="6">
        <v>23</v>
      </c>
      <c r="B24" s="7" t="s">
        <v>295</v>
      </c>
      <c r="C24" s="7"/>
      <c r="D24" s="7" t="s">
        <v>270</v>
      </c>
      <c r="E24" s="7">
        <v>95</v>
      </c>
      <c r="F24" s="7"/>
      <c r="G24" s="7"/>
    </row>
    <row r="25" spans="1:7" x14ac:dyDescent="0.25">
      <c r="A25" s="6">
        <v>24</v>
      </c>
      <c r="B25" s="7" t="s">
        <v>296</v>
      </c>
      <c r="C25" s="7"/>
      <c r="D25" s="7" t="s">
        <v>297</v>
      </c>
      <c r="E25" s="7">
        <v>50</v>
      </c>
      <c r="F25" s="7"/>
      <c r="G25" s="7"/>
    </row>
    <row r="26" spans="1:7" x14ac:dyDescent="0.25">
      <c r="A26" s="6">
        <v>25</v>
      </c>
      <c r="B26" s="7" t="s">
        <v>298</v>
      </c>
      <c r="C26" s="7"/>
      <c r="D26" s="7" t="s">
        <v>270</v>
      </c>
      <c r="E26" s="7">
        <v>25</v>
      </c>
      <c r="F26" s="7"/>
      <c r="G26" s="7"/>
    </row>
    <row r="27" spans="1:7" x14ac:dyDescent="0.25">
      <c r="A27" s="6">
        <v>26</v>
      </c>
      <c r="B27" s="7" t="s">
        <v>299</v>
      </c>
      <c r="C27" s="7"/>
      <c r="D27" s="7" t="s">
        <v>270</v>
      </c>
      <c r="E27" s="7">
        <v>42</v>
      </c>
      <c r="F27" s="7"/>
      <c r="G27" s="7"/>
    </row>
    <row r="28" spans="1:7" x14ac:dyDescent="0.25">
      <c r="A28" s="6">
        <v>27</v>
      </c>
      <c r="B28" s="7" t="s">
        <v>300</v>
      </c>
      <c r="C28" s="7"/>
      <c r="D28" s="7" t="s">
        <v>270</v>
      </c>
      <c r="E28" s="7">
        <v>26</v>
      </c>
      <c r="F28" s="7"/>
      <c r="G28" s="7"/>
    </row>
    <row r="29" spans="1:7" x14ac:dyDescent="0.25">
      <c r="A29" s="6">
        <v>28</v>
      </c>
      <c r="B29" s="7" t="s">
        <v>301</v>
      </c>
      <c r="C29" s="7"/>
      <c r="D29" s="7" t="s">
        <v>270</v>
      </c>
      <c r="E29" s="7">
        <v>40</v>
      </c>
      <c r="F29" s="7"/>
      <c r="G29" s="7"/>
    </row>
    <row r="30" spans="1:7" x14ac:dyDescent="0.25">
      <c r="A30" s="6">
        <v>29</v>
      </c>
      <c r="B30" s="7" t="s">
        <v>302</v>
      </c>
      <c r="C30" s="7"/>
      <c r="D30" s="7" t="s">
        <v>270</v>
      </c>
      <c r="E30" s="7">
        <v>500</v>
      </c>
      <c r="F30" s="7"/>
      <c r="G30" s="7"/>
    </row>
    <row r="31" spans="1:7" x14ac:dyDescent="0.25">
      <c r="A31" s="6">
        <v>30</v>
      </c>
      <c r="B31" s="7" t="s">
        <v>303</v>
      </c>
      <c r="C31" s="7"/>
      <c r="D31" s="7" t="s">
        <v>297</v>
      </c>
      <c r="E31" s="7">
        <v>140</v>
      </c>
      <c r="F31" s="7"/>
      <c r="G31" s="7"/>
    </row>
    <row r="32" spans="1:7" x14ac:dyDescent="0.25">
      <c r="A32" s="6">
        <v>31</v>
      </c>
      <c r="B32" s="7" t="s">
        <v>304</v>
      </c>
      <c r="C32" s="7"/>
      <c r="D32" s="7" t="s">
        <v>270</v>
      </c>
      <c r="E32" s="7">
        <v>40</v>
      </c>
      <c r="F32" s="7"/>
      <c r="G32" s="7"/>
    </row>
    <row r="33" spans="1:7" x14ac:dyDescent="0.25">
      <c r="A33" s="6">
        <v>32</v>
      </c>
      <c r="B33" s="7" t="s">
        <v>305</v>
      </c>
      <c r="C33" s="7"/>
      <c r="D33" s="7" t="s">
        <v>285</v>
      </c>
      <c r="E33" s="7">
        <v>65</v>
      </c>
      <c r="F33" s="7"/>
      <c r="G33" s="7"/>
    </row>
    <row r="34" spans="1:7" x14ac:dyDescent="0.25">
      <c r="A34" s="6">
        <v>33</v>
      </c>
      <c r="B34" s="7" t="s">
        <v>306</v>
      </c>
      <c r="C34" s="7"/>
      <c r="D34" s="7" t="s">
        <v>270</v>
      </c>
      <c r="E34" s="7">
        <v>26</v>
      </c>
      <c r="F34" s="7"/>
      <c r="G34" s="7"/>
    </row>
    <row r="35" spans="1:7" x14ac:dyDescent="0.25">
      <c r="A35" s="6">
        <v>34</v>
      </c>
      <c r="B35" s="7" t="s">
        <v>307</v>
      </c>
      <c r="C35" s="7"/>
      <c r="D35" s="7" t="s">
        <v>270</v>
      </c>
      <c r="E35" s="7">
        <v>70</v>
      </c>
      <c r="F35" s="7"/>
      <c r="G35" s="7"/>
    </row>
    <row r="36" spans="1:7" x14ac:dyDescent="0.25">
      <c r="A36" s="6">
        <v>35</v>
      </c>
      <c r="B36" s="7" t="s">
        <v>308</v>
      </c>
      <c r="C36" s="7"/>
      <c r="D36" s="7" t="s">
        <v>270</v>
      </c>
      <c r="E36" s="7">
        <v>65</v>
      </c>
      <c r="F36" s="7"/>
      <c r="G36" s="7"/>
    </row>
    <row r="37" spans="1:7" x14ac:dyDescent="0.25">
      <c r="A37" s="6">
        <v>36</v>
      </c>
      <c r="B37" s="7" t="s">
        <v>309</v>
      </c>
      <c r="C37" s="7"/>
      <c r="D37" s="7" t="s">
        <v>270</v>
      </c>
      <c r="E37" s="7">
        <v>38</v>
      </c>
      <c r="F37" s="7"/>
      <c r="G37" s="7"/>
    </row>
    <row r="38" spans="1:7" x14ac:dyDescent="0.25">
      <c r="A38" s="6">
        <v>37</v>
      </c>
      <c r="B38" s="7" t="s">
        <v>310</v>
      </c>
      <c r="C38" s="7"/>
      <c r="D38" s="7" t="s">
        <v>311</v>
      </c>
      <c r="E38" s="7">
        <v>180</v>
      </c>
      <c r="F38" s="7"/>
      <c r="G38" s="7"/>
    </row>
    <row r="39" spans="1:7" x14ac:dyDescent="0.25">
      <c r="A39" s="6">
        <v>38</v>
      </c>
      <c r="B39" s="7" t="s">
        <v>312</v>
      </c>
      <c r="C39" s="7"/>
      <c r="D39" s="7" t="s">
        <v>270</v>
      </c>
      <c r="E39" s="7">
        <v>900</v>
      </c>
      <c r="F39" s="7"/>
      <c r="G39" s="7"/>
    </row>
    <row r="40" spans="1:7" x14ac:dyDescent="0.25">
      <c r="A40" s="6">
        <v>39</v>
      </c>
      <c r="B40" s="7" t="s">
        <v>313</v>
      </c>
      <c r="C40" s="7"/>
      <c r="D40" s="7" t="s">
        <v>297</v>
      </c>
      <c r="E40" s="7">
        <v>140</v>
      </c>
      <c r="F40" s="7"/>
      <c r="G40" s="7"/>
    </row>
    <row r="41" spans="1:7" x14ac:dyDescent="0.25">
      <c r="A41" s="6">
        <v>40</v>
      </c>
      <c r="B41" s="7" t="s">
        <v>314</v>
      </c>
      <c r="C41" s="7"/>
      <c r="D41" s="7" t="s">
        <v>297</v>
      </c>
      <c r="E41" s="7">
        <v>140</v>
      </c>
      <c r="F41" s="7"/>
      <c r="G41" s="7"/>
    </row>
    <row r="42" spans="1:7" x14ac:dyDescent="0.25">
      <c r="A42" s="6">
        <v>41</v>
      </c>
      <c r="B42" s="7" t="s">
        <v>315</v>
      </c>
      <c r="C42" s="7"/>
      <c r="D42" s="7" t="s">
        <v>297</v>
      </c>
      <c r="E42" s="7">
        <v>140</v>
      </c>
      <c r="F42" s="7"/>
      <c r="G42" s="7"/>
    </row>
    <row r="43" spans="1:7" x14ac:dyDescent="0.25">
      <c r="A43" s="6">
        <v>42</v>
      </c>
      <c r="B43" s="7" t="s">
        <v>316</v>
      </c>
      <c r="C43" s="7"/>
      <c r="D43" s="7" t="s">
        <v>297</v>
      </c>
      <c r="E43" s="7">
        <v>140</v>
      </c>
      <c r="F43" s="7"/>
      <c r="G43" s="7"/>
    </row>
    <row r="44" spans="1:7" x14ac:dyDescent="0.25">
      <c r="A44" s="6">
        <v>43</v>
      </c>
      <c r="B44" s="7" t="s">
        <v>317</v>
      </c>
      <c r="C44" s="7"/>
      <c r="D44" s="7" t="s">
        <v>297</v>
      </c>
      <c r="E44" s="7">
        <v>165</v>
      </c>
      <c r="F44" s="7"/>
      <c r="G44" s="7"/>
    </row>
    <row r="45" spans="1:7" x14ac:dyDescent="0.25">
      <c r="A45" s="6">
        <v>44</v>
      </c>
      <c r="B45" s="7" t="s">
        <v>318</v>
      </c>
      <c r="C45" s="7"/>
      <c r="D45" s="7" t="s">
        <v>270</v>
      </c>
      <c r="E45" s="7">
        <v>540</v>
      </c>
      <c r="F45" s="7"/>
      <c r="G45" s="7"/>
    </row>
    <row r="46" spans="1:7" x14ac:dyDescent="0.25">
      <c r="A46" s="6">
        <v>45</v>
      </c>
      <c r="B46" s="7" t="s">
        <v>319</v>
      </c>
      <c r="C46" s="7">
        <v>-7</v>
      </c>
      <c r="D46" s="7" t="s">
        <v>320</v>
      </c>
      <c r="E46" s="7">
        <v>87</v>
      </c>
      <c r="F46" s="7"/>
      <c r="G46" s="7"/>
    </row>
    <row r="47" spans="1:7" x14ac:dyDescent="0.25">
      <c r="A47" s="6">
        <v>46</v>
      </c>
      <c r="B47" s="7" t="s">
        <v>321</v>
      </c>
      <c r="C47" s="7">
        <v>-3</v>
      </c>
      <c r="D47" s="7" t="s">
        <v>270</v>
      </c>
      <c r="E47" s="7">
        <v>540</v>
      </c>
      <c r="F47" s="7"/>
      <c r="G47" s="7"/>
    </row>
    <row r="48" spans="1:7" x14ac:dyDescent="0.25">
      <c r="A48" s="6">
        <v>47</v>
      </c>
      <c r="B48" s="7" t="s">
        <v>322</v>
      </c>
      <c r="C48" s="7">
        <v>-4</v>
      </c>
      <c r="D48" s="7" t="s">
        <v>320</v>
      </c>
      <c r="E48" s="7">
        <v>87</v>
      </c>
      <c r="F48" s="7"/>
      <c r="G48" s="7"/>
    </row>
    <row r="49" spans="1:7" x14ac:dyDescent="0.25">
      <c r="A49" s="6">
        <v>48</v>
      </c>
      <c r="B49" s="7" t="s">
        <v>323</v>
      </c>
      <c r="C49" s="7"/>
      <c r="D49" s="7" t="s">
        <v>270</v>
      </c>
      <c r="E49" s="7">
        <v>540</v>
      </c>
      <c r="F49" s="7"/>
      <c r="G49" s="7"/>
    </row>
    <row r="50" spans="1:7" x14ac:dyDescent="0.25">
      <c r="A50" s="6">
        <v>49</v>
      </c>
      <c r="B50" s="7" t="s">
        <v>324</v>
      </c>
      <c r="C50" s="7"/>
      <c r="D50" s="7" t="s">
        <v>320</v>
      </c>
      <c r="E50" s="7">
        <v>87</v>
      </c>
      <c r="F50" s="7"/>
      <c r="G50" s="7"/>
    </row>
    <row r="51" spans="1:7" x14ac:dyDescent="0.25">
      <c r="A51" s="6">
        <v>50</v>
      </c>
      <c r="B51" s="7" t="s">
        <v>325</v>
      </c>
      <c r="C51" s="7"/>
      <c r="D51" s="7" t="s">
        <v>270</v>
      </c>
      <c r="E51" s="7">
        <v>540</v>
      </c>
      <c r="F51" s="7"/>
      <c r="G51" s="7"/>
    </row>
    <row r="52" spans="1:7" x14ac:dyDescent="0.25">
      <c r="A52" s="6">
        <v>51</v>
      </c>
      <c r="B52" s="7" t="s">
        <v>326</v>
      </c>
      <c r="C52" s="7"/>
      <c r="D52" s="7" t="s">
        <v>320</v>
      </c>
      <c r="E52" s="7">
        <v>87</v>
      </c>
      <c r="F52" s="7"/>
      <c r="G52" s="7"/>
    </row>
    <row r="53" spans="1:7" x14ac:dyDescent="0.25">
      <c r="A53" s="6">
        <v>52</v>
      </c>
      <c r="B53" s="7" t="s">
        <v>327</v>
      </c>
      <c r="C53" s="7"/>
      <c r="D53" s="7" t="s">
        <v>270</v>
      </c>
      <c r="E53" s="7">
        <v>600</v>
      </c>
      <c r="F53" s="7"/>
      <c r="G53" s="7"/>
    </row>
    <row r="54" spans="1:7" x14ac:dyDescent="0.25">
      <c r="A54" s="6">
        <v>53</v>
      </c>
      <c r="B54" s="7" t="s">
        <v>328</v>
      </c>
      <c r="C54" s="7"/>
      <c r="D54" s="7" t="s">
        <v>320</v>
      </c>
      <c r="E54" s="7">
        <v>67</v>
      </c>
      <c r="F54" s="7"/>
      <c r="G54" s="7"/>
    </row>
    <row r="55" spans="1:7" x14ac:dyDescent="0.25">
      <c r="A55" s="6">
        <v>54</v>
      </c>
      <c r="B55" s="7" t="s">
        <v>329</v>
      </c>
      <c r="C55" s="7"/>
      <c r="D55" s="7" t="s">
        <v>270</v>
      </c>
      <c r="E55" s="7">
        <v>540</v>
      </c>
      <c r="F55" s="7"/>
      <c r="G55" s="7"/>
    </row>
    <row r="56" spans="1:7" x14ac:dyDescent="0.25">
      <c r="A56" s="6">
        <v>55</v>
      </c>
      <c r="B56" s="7" t="s">
        <v>330</v>
      </c>
      <c r="C56" s="7"/>
      <c r="D56" s="7" t="s">
        <v>320</v>
      </c>
      <c r="E56" s="7">
        <v>87</v>
      </c>
      <c r="F56" s="7"/>
      <c r="G56" s="7"/>
    </row>
    <row r="57" spans="1:7" x14ac:dyDescent="0.25">
      <c r="A57" s="6">
        <v>56</v>
      </c>
      <c r="B57" s="7" t="s">
        <v>331</v>
      </c>
      <c r="C57" s="7"/>
      <c r="D57" s="7" t="s">
        <v>270</v>
      </c>
      <c r="E57" s="7">
        <v>540</v>
      </c>
      <c r="F57" s="7"/>
      <c r="G57" s="7"/>
    </row>
    <row r="58" spans="1:7" x14ac:dyDescent="0.25">
      <c r="A58" s="6">
        <v>57</v>
      </c>
      <c r="B58" s="7" t="s">
        <v>332</v>
      </c>
      <c r="C58" s="7"/>
      <c r="D58" s="7" t="s">
        <v>320</v>
      </c>
      <c r="E58" s="7">
        <v>87</v>
      </c>
      <c r="F58" s="7"/>
      <c r="G58" s="7"/>
    </row>
    <row r="59" spans="1:7" x14ac:dyDescent="0.25">
      <c r="A59" s="6">
        <v>58</v>
      </c>
      <c r="B59" s="7" t="s">
        <v>333</v>
      </c>
      <c r="C59" s="7"/>
      <c r="D59" s="7" t="s">
        <v>270</v>
      </c>
      <c r="E59" s="7">
        <v>400</v>
      </c>
      <c r="F59" s="7"/>
      <c r="G59" s="7"/>
    </row>
    <row r="60" spans="1:7" x14ac:dyDescent="0.25">
      <c r="A60" s="6">
        <v>59</v>
      </c>
      <c r="B60" s="7" t="s">
        <v>334</v>
      </c>
      <c r="C60" s="7"/>
      <c r="D60" s="7" t="s">
        <v>320</v>
      </c>
      <c r="E60" s="7">
        <v>68</v>
      </c>
      <c r="F60" s="7"/>
      <c r="G60" s="7"/>
    </row>
    <row r="61" spans="1:7" x14ac:dyDescent="0.25">
      <c r="A61" s="6">
        <v>60</v>
      </c>
      <c r="B61" s="7" t="s">
        <v>335</v>
      </c>
      <c r="C61" s="7"/>
      <c r="D61" s="7" t="s">
        <v>270</v>
      </c>
      <c r="E61" s="7">
        <v>380</v>
      </c>
      <c r="F61" s="7"/>
      <c r="G61" s="7"/>
    </row>
    <row r="62" spans="1:7" x14ac:dyDescent="0.25">
      <c r="A62" s="6">
        <v>61</v>
      </c>
      <c r="B62" s="7" t="s">
        <v>336</v>
      </c>
      <c r="C62" s="7"/>
      <c r="D62" s="7" t="s">
        <v>320</v>
      </c>
      <c r="E62" s="7">
        <v>65</v>
      </c>
      <c r="F62" s="7"/>
      <c r="G62" s="7"/>
    </row>
    <row r="63" spans="1:7" x14ac:dyDescent="0.25">
      <c r="A63" s="6">
        <v>62</v>
      </c>
      <c r="B63" s="7" t="s">
        <v>337</v>
      </c>
      <c r="C63" s="7"/>
      <c r="D63" s="7" t="s">
        <v>270</v>
      </c>
      <c r="E63" s="7">
        <v>420</v>
      </c>
      <c r="F63" s="7"/>
      <c r="G63" s="7"/>
    </row>
    <row r="64" spans="1:7" x14ac:dyDescent="0.25">
      <c r="A64" s="6">
        <v>63</v>
      </c>
      <c r="B64" s="7" t="s">
        <v>338</v>
      </c>
      <c r="C64" s="7"/>
      <c r="D64" s="7" t="s">
        <v>320</v>
      </c>
      <c r="E64" s="7">
        <v>70</v>
      </c>
      <c r="F64" s="7"/>
      <c r="G64" s="7"/>
    </row>
    <row r="65" spans="1:7" x14ac:dyDescent="0.25">
      <c r="A65" s="6">
        <v>64</v>
      </c>
      <c r="B65" s="7" t="s">
        <v>339</v>
      </c>
      <c r="C65" s="7"/>
      <c r="D65" s="7" t="s">
        <v>320</v>
      </c>
      <c r="E65" s="7">
        <v>380</v>
      </c>
      <c r="F65" s="7"/>
      <c r="G65" s="7"/>
    </row>
    <row r="66" spans="1:7" x14ac:dyDescent="0.25">
      <c r="A66" s="6">
        <v>65</v>
      </c>
      <c r="B66" s="7" t="s">
        <v>340</v>
      </c>
      <c r="C66" s="7"/>
      <c r="D66" s="7" t="s">
        <v>320</v>
      </c>
      <c r="E66" s="7">
        <v>65</v>
      </c>
      <c r="F66" s="7"/>
      <c r="G66" s="7"/>
    </row>
    <row r="67" spans="1:7" x14ac:dyDescent="0.25">
      <c r="A67" s="6">
        <v>66</v>
      </c>
      <c r="B67" s="7" t="s">
        <v>341</v>
      </c>
      <c r="C67" s="7"/>
      <c r="D67" s="7" t="s">
        <v>342</v>
      </c>
      <c r="E67" s="7">
        <v>190</v>
      </c>
      <c r="F67" s="7"/>
      <c r="G67" s="7"/>
    </row>
    <row r="68" spans="1:7" x14ac:dyDescent="0.25">
      <c r="A68" s="6">
        <v>67</v>
      </c>
      <c r="B68" s="7" t="s">
        <v>343</v>
      </c>
      <c r="C68" s="7"/>
      <c r="D68" s="7" t="s">
        <v>344</v>
      </c>
      <c r="E68" s="7">
        <v>95</v>
      </c>
      <c r="F68" s="7"/>
      <c r="G68" s="7"/>
    </row>
    <row r="69" spans="1:7" x14ac:dyDescent="0.25">
      <c r="A69" s="6">
        <v>68</v>
      </c>
      <c r="B69" s="7" t="s">
        <v>345</v>
      </c>
      <c r="C69" s="7"/>
      <c r="D69" s="7" t="s">
        <v>344</v>
      </c>
      <c r="E69" s="7">
        <v>120</v>
      </c>
      <c r="F69" s="7"/>
      <c r="G69" s="7"/>
    </row>
    <row r="70" spans="1:7" x14ac:dyDescent="0.25">
      <c r="A70" s="6">
        <v>69</v>
      </c>
      <c r="B70" s="7" t="s">
        <v>346</v>
      </c>
      <c r="C70" s="7"/>
      <c r="D70" s="7" t="s">
        <v>344</v>
      </c>
      <c r="E70" s="7">
        <v>140</v>
      </c>
      <c r="F70" s="7"/>
      <c r="G70" s="7"/>
    </row>
    <row r="71" spans="1:7" x14ac:dyDescent="0.25">
      <c r="A71" s="6">
        <v>70</v>
      </c>
      <c r="B71" s="7" t="s">
        <v>347</v>
      </c>
      <c r="C71" s="7"/>
      <c r="D71" s="7" t="s">
        <v>344</v>
      </c>
      <c r="E71" s="7">
        <v>180</v>
      </c>
      <c r="F71" s="7"/>
      <c r="G71" s="7"/>
    </row>
    <row r="72" spans="1:7" x14ac:dyDescent="0.25">
      <c r="A72" s="6">
        <v>71</v>
      </c>
      <c r="B72" s="7" t="s">
        <v>348</v>
      </c>
      <c r="C72" s="7"/>
      <c r="D72" s="7" t="s">
        <v>344</v>
      </c>
      <c r="E72" s="7">
        <v>180</v>
      </c>
      <c r="F72" s="7"/>
      <c r="G72" s="7"/>
    </row>
    <row r="73" spans="1:7" x14ac:dyDescent="0.25">
      <c r="A73" s="6">
        <v>72</v>
      </c>
      <c r="B73" s="7" t="s">
        <v>349</v>
      </c>
      <c r="C73" s="7"/>
      <c r="D73" s="7" t="s">
        <v>297</v>
      </c>
      <c r="E73" s="7">
        <v>90</v>
      </c>
      <c r="F73" s="7"/>
      <c r="G73" s="7"/>
    </row>
    <row r="74" spans="1:7" x14ac:dyDescent="0.25">
      <c r="A74" s="6">
        <v>73</v>
      </c>
      <c r="B74" s="7" t="s">
        <v>350</v>
      </c>
      <c r="C74" s="7"/>
      <c r="D74" s="7" t="s">
        <v>297</v>
      </c>
      <c r="E74" s="7">
        <v>120</v>
      </c>
      <c r="F74" s="7"/>
      <c r="G74" s="7"/>
    </row>
    <row r="75" spans="1:7" x14ac:dyDescent="0.25">
      <c r="A75" s="6">
        <v>74</v>
      </c>
      <c r="B75" s="7" t="s">
        <v>351</v>
      </c>
      <c r="C75" s="7">
        <v>-2</v>
      </c>
      <c r="D75" s="7" t="s">
        <v>352</v>
      </c>
      <c r="E75" s="7">
        <v>50</v>
      </c>
      <c r="F75" s="7"/>
      <c r="G75" s="7"/>
    </row>
    <row r="76" spans="1:7" x14ac:dyDescent="0.25">
      <c r="A76" s="6">
        <v>75</v>
      </c>
      <c r="B76" s="7" t="s">
        <v>353</v>
      </c>
      <c r="C76" s="7"/>
      <c r="D76" s="7" t="s">
        <v>270</v>
      </c>
      <c r="E76" s="7">
        <v>600</v>
      </c>
      <c r="F76" s="7"/>
      <c r="G76" s="7"/>
    </row>
    <row r="77" spans="1:7" x14ac:dyDescent="0.25">
      <c r="A77" s="6">
        <v>76</v>
      </c>
      <c r="B77" s="7" t="s">
        <v>354</v>
      </c>
      <c r="C77" s="7"/>
      <c r="D77" s="7" t="s">
        <v>285</v>
      </c>
      <c r="E77" s="7">
        <v>140</v>
      </c>
      <c r="F77" s="7"/>
      <c r="G77" s="7"/>
    </row>
    <row r="78" spans="1:7" x14ac:dyDescent="0.25">
      <c r="A78" s="6">
        <v>77</v>
      </c>
      <c r="B78" s="7" t="s">
        <v>355</v>
      </c>
      <c r="C78" s="7"/>
      <c r="D78" s="7" t="s">
        <v>285</v>
      </c>
      <c r="E78" s="7">
        <v>140</v>
      </c>
      <c r="F78" s="7"/>
      <c r="G78" s="7"/>
    </row>
    <row r="79" spans="1:7" x14ac:dyDescent="0.25">
      <c r="A79" s="6">
        <v>78</v>
      </c>
      <c r="B79" s="7" t="s">
        <v>356</v>
      </c>
      <c r="C79" s="7"/>
      <c r="D79" s="7" t="s">
        <v>285</v>
      </c>
      <c r="E79" s="7">
        <v>140</v>
      </c>
      <c r="F79" s="7"/>
      <c r="G79" s="7"/>
    </row>
    <row r="80" spans="1:7" x14ac:dyDescent="0.25">
      <c r="A80" s="6">
        <v>79</v>
      </c>
      <c r="B80" s="7" t="s">
        <v>357</v>
      </c>
      <c r="C80" s="7"/>
      <c r="D80" s="7" t="s">
        <v>285</v>
      </c>
      <c r="E80" s="7">
        <v>120</v>
      </c>
      <c r="F80" s="7"/>
      <c r="G80" s="7"/>
    </row>
    <row r="81" spans="1:7" x14ac:dyDescent="0.25">
      <c r="A81" s="6">
        <v>80</v>
      </c>
      <c r="B81" s="7" t="s">
        <v>358</v>
      </c>
      <c r="C81" s="7"/>
      <c r="D81" s="7" t="s">
        <v>285</v>
      </c>
      <c r="E81" s="7">
        <v>120</v>
      </c>
      <c r="F81" s="7"/>
      <c r="G81" s="7"/>
    </row>
    <row r="82" spans="1:7" x14ac:dyDescent="0.25">
      <c r="A82" s="6">
        <v>81</v>
      </c>
      <c r="B82" s="7" t="s">
        <v>359</v>
      </c>
      <c r="C82" s="7"/>
      <c r="D82" s="7" t="s">
        <v>285</v>
      </c>
      <c r="E82" s="7">
        <v>120</v>
      </c>
      <c r="F82" s="7"/>
      <c r="G82" s="7"/>
    </row>
    <row r="83" spans="1:7" x14ac:dyDescent="0.25">
      <c r="A83" s="6">
        <v>82</v>
      </c>
      <c r="B83" s="7" t="s">
        <v>360</v>
      </c>
      <c r="C83" s="7"/>
      <c r="D83" s="7" t="s">
        <v>285</v>
      </c>
      <c r="E83" s="7">
        <v>120</v>
      </c>
      <c r="F83" s="7"/>
      <c r="G83" s="7"/>
    </row>
    <row r="84" spans="1:7" x14ac:dyDescent="0.25">
      <c r="A84" s="6">
        <v>83</v>
      </c>
      <c r="B84" s="7" t="s">
        <v>361</v>
      </c>
      <c r="C84" s="7"/>
      <c r="D84" s="7" t="s">
        <v>285</v>
      </c>
      <c r="E84" s="7">
        <v>120</v>
      </c>
      <c r="F84" s="7"/>
      <c r="G84" s="7"/>
    </row>
    <row r="85" spans="1:7" x14ac:dyDescent="0.25">
      <c r="A85" s="6">
        <v>84</v>
      </c>
      <c r="B85" s="7" t="s">
        <v>362</v>
      </c>
      <c r="C85" s="7"/>
      <c r="D85" s="7" t="s">
        <v>270</v>
      </c>
      <c r="E85" s="7">
        <v>70</v>
      </c>
      <c r="F85" s="7"/>
      <c r="G85" s="7"/>
    </row>
    <row r="86" spans="1:7" x14ac:dyDescent="0.25">
      <c r="A86" s="6">
        <v>85</v>
      </c>
      <c r="B86" s="7" t="s">
        <v>363</v>
      </c>
      <c r="C86" s="7"/>
      <c r="D86" s="7" t="s">
        <v>270</v>
      </c>
      <c r="E86" s="7">
        <v>75</v>
      </c>
      <c r="F86" s="7"/>
      <c r="G86" s="7"/>
    </row>
    <row r="87" spans="1:7" x14ac:dyDescent="0.25">
      <c r="A87" s="6">
        <v>86</v>
      </c>
      <c r="B87" s="7" t="s">
        <v>364</v>
      </c>
      <c r="C87" s="7"/>
      <c r="D87" s="7" t="s">
        <v>270</v>
      </c>
      <c r="E87" s="7">
        <v>80</v>
      </c>
      <c r="F87" s="7"/>
      <c r="G87" s="7"/>
    </row>
    <row r="88" spans="1:7" x14ac:dyDescent="0.25">
      <c r="A88" s="6">
        <v>87</v>
      </c>
      <c r="B88" s="7" t="s">
        <v>365</v>
      </c>
      <c r="C88" s="7"/>
      <c r="D88" s="7" t="s">
        <v>270</v>
      </c>
      <c r="E88" s="7">
        <v>70</v>
      </c>
      <c r="F88" s="7"/>
      <c r="G88" s="7"/>
    </row>
    <row r="89" spans="1:7" x14ac:dyDescent="0.25">
      <c r="A89" s="6">
        <v>88</v>
      </c>
      <c r="B89" s="7" t="s">
        <v>366</v>
      </c>
      <c r="C89" s="7"/>
      <c r="D89" s="7" t="s">
        <v>297</v>
      </c>
      <c r="E89" s="7">
        <v>150</v>
      </c>
      <c r="F89" s="7"/>
      <c r="G89" s="7"/>
    </row>
    <row r="90" spans="1:7" x14ac:dyDescent="0.25">
      <c r="A90" s="6">
        <v>89</v>
      </c>
      <c r="B90" s="7" t="s">
        <v>367</v>
      </c>
      <c r="C90" s="7"/>
      <c r="D90" s="7" t="s">
        <v>270</v>
      </c>
      <c r="E90" s="7">
        <v>530</v>
      </c>
      <c r="F90" s="7"/>
      <c r="G90" s="7"/>
    </row>
    <row r="91" spans="1:7" x14ac:dyDescent="0.25">
      <c r="A91" s="6">
        <v>90</v>
      </c>
      <c r="B91" s="7" t="s">
        <v>368</v>
      </c>
      <c r="C91" s="7"/>
      <c r="D91" s="7" t="s">
        <v>369</v>
      </c>
      <c r="E91" s="7">
        <v>550</v>
      </c>
      <c r="F91" s="7"/>
      <c r="G91" s="7"/>
    </row>
    <row r="92" spans="1:7" x14ac:dyDescent="0.25">
      <c r="A92" s="6">
        <v>91</v>
      </c>
      <c r="B92" s="7" t="s">
        <v>370</v>
      </c>
      <c r="C92" s="7"/>
      <c r="D92" s="7" t="s">
        <v>270</v>
      </c>
      <c r="E92" s="7">
        <v>650</v>
      </c>
      <c r="F92" s="7"/>
      <c r="G92" s="7"/>
    </row>
    <row r="93" spans="1:7" x14ac:dyDescent="0.25">
      <c r="A93" s="6">
        <v>92</v>
      </c>
      <c r="B93" s="7" t="s">
        <v>371</v>
      </c>
      <c r="C93" s="7"/>
      <c r="D93" s="7" t="s">
        <v>270</v>
      </c>
      <c r="E93" s="7">
        <v>660</v>
      </c>
      <c r="F93" s="7"/>
      <c r="G93" s="7"/>
    </row>
    <row r="94" spans="1:7" x14ac:dyDescent="0.25">
      <c r="A94" s="6">
        <v>93</v>
      </c>
      <c r="B94" s="7" t="s">
        <v>372</v>
      </c>
      <c r="C94" s="7"/>
      <c r="D94" s="7" t="s">
        <v>270</v>
      </c>
      <c r="E94" s="7">
        <v>395</v>
      </c>
      <c r="F94" s="7"/>
      <c r="G94" s="7"/>
    </row>
    <row r="95" spans="1:7" x14ac:dyDescent="0.25">
      <c r="A95" s="6">
        <v>94</v>
      </c>
      <c r="B95" s="7" t="s">
        <v>373</v>
      </c>
      <c r="C95" s="7"/>
      <c r="D95" s="7" t="s">
        <v>270</v>
      </c>
      <c r="E95" s="7">
        <v>445</v>
      </c>
      <c r="F95" s="7"/>
      <c r="G95" s="7"/>
    </row>
    <row r="96" spans="1:7" x14ac:dyDescent="0.25">
      <c r="A96" s="6">
        <v>95</v>
      </c>
      <c r="B96" s="7" t="s">
        <v>374</v>
      </c>
      <c r="C96" s="7"/>
      <c r="D96" s="7" t="s">
        <v>270</v>
      </c>
      <c r="E96" s="7">
        <v>580</v>
      </c>
      <c r="F96" s="7"/>
      <c r="G96" s="7"/>
    </row>
    <row r="97" spans="1:7" x14ac:dyDescent="0.25">
      <c r="A97" s="6">
        <v>96</v>
      </c>
      <c r="B97" s="7" t="s">
        <v>375</v>
      </c>
      <c r="C97" s="7"/>
      <c r="D97" s="7" t="s">
        <v>270</v>
      </c>
      <c r="E97" s="7">
        <v>350</v>
      </c>
      <c r="F97" s="7"/>
      <c r="G97" s="7"/>
    </row>
    <row r="98" spans="1:7" x14ac:dyDescent="0.25">
      <c r="A98" s="6">
        <v>97</v>
      </c>
      <c r="B98" s="7" t="s">
        <v>376</v>
      </c>
      <c r="C98" s="7"/>
      <c r="D98" s="7" t="s">
        <v>270</v>
      </c>
      <c r="E98" s="7">
        <v>350</v>
      </c>
      <c r="F98" s="7"/>
      <c r="G98" s="7"/>
    </row>
    <row r="99" spans="1:7" x14ac:dyDescent="0.25">
      <c r="A99" s="6">
        <v>98</v>
      </c>
      <c r="B99" s="7" t="s">
        <v>377</v>
      </c>
      <c r="C99" s="7"/>
      <c r="D99" s="7" t="s">
        <v>270</v>
      </c>
      <c r="E99" s="7">
        <v>400</v>
      </c>
      <c r="F99" s="7"/>
      <c r="G99" s="7"/>
    </row>
    <row r="100" spans="1:7" x14ac:dyDescent="0.25">
      <c r="A100" s="6">
        <v>99</v>
      </c>
      <c r="B100" s="7" t="s">
        <v>378</v>
      </c>
      <c r="C100" s="7"/>
      <c r="D100" s="7" t="s">
        <v>270</v>
      </c>
      <c r="E100" s="7">
        <v>400</v>
      </c>
      <c r="F100" s="7"/>
      <c r="G100" s="7"/>
    </row>
    <row r="101" spans="1:7" x14ac:dyDescent="0.25">
      <c r="A101" s="6">
        <v>100</v>
      </c>
      <c r="B101" s="7" t="s">
        <v>379</v>
      </c>
      <c r="C101" s="7"/>
      <c r="D101" s="7" t="s">
        <v>270</v>
      </c>
      <c r="E101" s="7">
        <v>385</v>
      </c>
      <c r="F101" s="7"/>
      <c r="G101" s="7"/>
    </row>
    <row r="102" spans="1:7" x14ac:dyDescent="0.25">
      <c r="A102" s="6">
        <v>101</v>
      </c>
      <c r="B102" s="7" t="s">
        <v>380</v>
      </c>
      <c r="C102" s="7"/>
      <c r="D102" s="7" t="s">
        <v>270</v>
      </c>
      <c r="E102" s="7">
        <v>515</v>
      </c>
      <c r="F102" s="7"/>
      <c r="G102" s="7"/>
    </row>
    <row r="103" spans="1:7" x14ac:dyDescent="0.25">
      <c r="A103" s="6">
        <v>102</v>
      </c>
      <c r="B103" s="7" t="s">
        <v>381</v>
      </c>
      <c r="C103" s="7"/>
      <c r="D103" s="7" t="s">
        <v>270</v>
      </c>
      <c r="E103" s="7">
        <v>180</v>
      </c>
      <c r="F103" s="7"/>
      <c r="G103" s="7"/>
    </row>
    <row r="104" spans="1:7" x14ac:dyDescent="0.25">
      <c r="A104" s="6">
        <v>103</v>
      </c>
      <c r="B104" s="7" t="s">
        <v>382</v>
      </c>
      <c r="C104" s="7"/>
      <c r="D104" s="7" t="s">
        <v>369</v>
      </c>
      <c r="E104" s="7">
        <v>170</v>
      </c>
      <c r="F104" s="7"/>
      <c r="G104" s="7"/>
    </row>
    <row r="105" spans="1:7" x14ac:dyDescent="0.25">
      <c r="A105" s="6">
        <v>104</v>
      </c>
      <c r="B105" s="7" t="s">
        <v>383</v>
      </c>
      <c r="C105" s="7"/>
      <c r="D105" s="7" t="s">
        <v>270</v>
      </c>
      <c r="E105" s="7">
        <v>140</v>
      </c>
      <c r="F105" s="7"/>
      <c r="G105" s="7"/>
    </row>
    <row r="106" spans="1:7" x14ac:dyDescent="0.25">
      <c r="A106" s="6">
        <v>105</v>
      </c>
      <c r="B106" s="7" t="s">
        <v>384</v>
      </c>
      <c r="C106" s="7"/>
      <c r="D106" s="7" t="s">
        <v>270</v>
      </c>
      <c r="E106" s="7">
        <v>300</v>
      </c>
      <c r="F106" s="7"/>
      <c r="G106" s="7"/>
    </row>
    <row r="107" spans="1:7" x14ac:dyDescent="0.25">
      <c r="A107" s="6">
        <v>106</v>
      </c>
      <c r="B107" s="7" t="s">
        <v>385</v>
      </c>
      <c r="C107" s="7"/>
      <c r="D107" s="7" t="s">
        <v>270</v>
      </c>
      <c r="E107" s="7">
        <v>1300</v>
      </c>
      <c r="F107" s="7"/>
      <c r="G107" s="7"/>
    </row>
    <row r="108" spans="1:7" x14ac:dyDescent="0.25">
      <c r="A108" s="6">
        <v>107</v>
      </c>
      <c r="B108" s="7" t="s">
        <v>386</v>
      </c>
      <c r="C108" s="7"/>
      <c r="D108" s="7" t="s">
        <v>270</v>
      </c>
      <c r="E108" s="7">
        <v>480</v>
      </c>
      <c r="F108" s="7"/>
      <c r="G108" s="7"/>
    </row>
    <row r="109" spans="1:7" x14ac:dyDescent="0.25">
      <c r="A109" s="6">
        <v>108</v>
      </c>
      <c r="B109" s="7" t="s">
        <v>387</v>
      </c>
      <c r="C109" s="7"/>
      <c r="D109" s="7" t="s">
        <v>270</v>
      </c>
      <c r="E109" s="7">
        <v>360</v>
      </c>
      <c r="F109" s="7"/>
      <c r="G109" s="7"/>
    </row>
    <row r="110" spans="1:7" x14ac:dyDescent="0.25">
      <c r="A110" s="6">
        <v>109</v>
      </c>
      <c r="B110" s="7" t="s">
        <v>388</v>
      </c>
      <c r="C110" s="7"/>
      <c r="D110" s="7" t="s">
        <v>270</v>
      </c>
      <c r="E110" s="7">
        <v>320</v>
      </c>
      <c r="F110" s="7"/>
      <c r="G110" s="7"/>
    </row>
    <row r="111" spans="1:7" x14ac:dyDescent="0.25">
      <c r="A111" s="6">
        <v>110</v>
      </c>
      <c r="B111" s="7" t="s">
        <v>389</v>
      </c>
      <c r="C111" s="7"/>
      <c r="D111" s="7" t="s">
        <v>270</v>
      </c>
      <c r="E111" s="7">
        <v>330</v>
      </c>
      <c r="F111" s="7"/>
      <c r="G111" s="7"/>
    </row>
    <row r="112" spans="1:7" x14ac:dyDescent="0.25">
      <c r="A112" s="6">
        <v>111</v>
      </c>
      <c r="B112" s="7" t="s">
        <v>390</v>
      </c>
      <c r="C112" s="7"/>
      <c r="D112" s="7" t="s">
        <v>270</v>
      </c>
      <c r="E112" s="7">
        <v>140</v>
      </c>
      <c r="F112" s="7"/>
      <c r="G112" s="7"/>
    </row>
    <row r="113" spans="1:7" x14ac:dyDescent="0.25">
      <c r="A113" s="6">
        <v>112</v>
      </c>
      <c r="B113" s="7" t="s">
        <v>391</v>
      </c>
      <c r="C113" s="7"/>
      <c r="D113" s="7" t="s">
        <v>270</v>
      </c>
      <c r="E113" s="7">
        <v>210</v>
      </c>
      <c r="F113" s="7"/>
      <c r="G113" s="7"/>
    </row>
    <row r="114" spans="1:7" x14ac:dyDescent="0.25">
      <c r="A114" s="6">
        <v>113</v>
      </c>
      <c r="B114" s="7" t="s">
        <v>392</v>
      </c>
      <c r="C114" s="7"/>
      <c r="D114" s="7" t="s">
        <v>270</v>
      </c>
      <c r="E114" s="7">
        <v>225</v>
      </c>
      <c r="F114" s="7"/>
      <c r="G114" s="7"/>
    </row>
    <row r="115" spans="1:7" x14ac:dyDescent="0.25">
      <c r="A115" s="6">
        <v>114</v>
      </c>
      <c r="B115" s="7" t="s">
        <v>393</v>
      </c>
      <c r="C115" s="7"/>
      <c r="D115" s="7" t="s">
        <v>270</v>
      </c>
      <c r="E115" s="7">
        <v>570</v>
      </c>
      <c r="F115" s="7"/>
      <c r="G115" s="7"/>
    </row>
    <row r="116" spans="1:7" x14ac:dyDescent="0.25">
      <c r="A116" s="6">
        <v>115</v>
      </c>
      <c r="B116" s="7" t="s">
        <v>394</v>
      </c>
      <c r="C116" s="7"/>
      <c r="D116" s="7" t="s">
        <v>270</v>
      </c>
      <c r="E116" s="7">
        <v>590</v>
      </c>
      <c r="F116" s="7"/>
      <c r="G116" s="7"/>
    </row>
    <row r="117" spans="1:7" x14ac:dyDescent="0.25">
      <c r="A117" s="6">
        <v>116</v>
      </c>
      <c r="B117" s="7" t="s">
        <v>395</v>
      </c>
      <c r="C117" s="7"/>
      <c r="D117" s="7" t="s">
        <v>270</v>
      </c>
      <c r="E117" s="7">
        <v>570</v>
      </c>
      <c r="F117" s="7"/>
      <c r="G117" s="7"/>
    </row>
    <row r="118" spans="1:7" x14ac:dyDescent="0.25">
      <c r="A118" s="6">
        <v>117</v>
      </c>
      <c r="B118" s="7" t="s">
        <v>396</v>
      </c>
      <c r="C118" s="7"/>
      <c r="D118" s="7" t="s">
        <v>270</v>
      </c>
      <c r="E118" s="7">
        <v>620</v>
      </c>
      <c r="F118" s="7"/>
      <c r="G118" s="7"/>
    </row>
    <row r="119" spans="1:7" x14ac:dyDescent="0.25">
      <c r="A119" s="6">
        <v>118</v>
      </c>
      <c r="B119" s="7" t="s">
        <v>397</v>
      </c>
      <c r="C119" s="7"/>
      <c r="D119" s="7" t="s">
        <v>270</v>
      </c>
      <c r="E119" s="7">
        <v>350</v>
      </c>
      <c r="F119" s="7"/>
      <c r="G119" s="7"/>
    </row>
    <row r="120" spans="1:7" x14ac:dyDescent="0.25">
      <c r="A120" s="6">
        <v>119</v>
      </c>
      <c r="B120" s="7" t="s">
        <v>398</v>
      </c>
      <c r="C120" s="7"/>
      <c r="D120" s="7" t="s">
        <v>270</v>
      </c>
      <c r="E120" s="7">
        <v>225</v>
      </c>
      <c r="F120" s="7"/>
      <c r="G120" s="7"/>
    </row>
    <row r="121" spans="1:7" x14ac:dyDescent="0.25">
      <c r="A121" s="6">
        <v>120</v>
      </c>
      <c r="B121" s="7" t="s">
        <v>399</v>
      </c>
      <c r="C121" s="7"/>
      <c r="D121" s="7" t="s">
        <v>270</v>
      </c>
      <c r="E121" s="7">
        <v>225</v>
      </c>
      <c r="F121" s="7"/>
      <c r="G121" s="7"/>
    </row>
    <row r="122" spans="1:7" x14ac:dyDescent="0.25">
      <c r="A122" s="6">
        <v>121</v>
      </c>
      <c r="B122" s="7" t="s">
        <v>400</v>
      </c>
      <c r="C122" s="7"/>
      <c r="D122" s="7" t="s">
        <v>270</v>
      </c>
      <c r="E122" s="7">
        <v>140</v>
      </c>
      <c r="F122" s="7"/>
      <c r="G122" s="7"/>
    </row>
    <row r="123" spans="1:7" x14ac:dyDescent="0.25">
      <c r="A123" s="6">
        <v>122</v>
      </c>
      <c r="B123" s="7" t="s">
        <v>401</v>
      </c>
      <c r="C123" s="7"/>
      <c r="D123" s="7" t="s">
        <v>270</v>
      </c>
      <c r="E123" s="7">
        <v>130</v>
      </c>
      <c r="F123" s="7"/>
      <c r="G123" s="7"/>
    </row>
    <row r="124" spans="1:7" x14ac:dyDescent="0.25">
      <c r="A124" s="6">
        <v>123</v>
      </c>
      <c r="B124" s="7" t="s">
        <v>402</v>
      </c>
      <c r="C124" s="7"/>
      <c r="D124" s="7" t="s">
        <v>270</v>
      </c>
      <c r="E124" s="7">
        <v>145</v>
      </c>
      <c r="F124" s="7"/>
      <c r="G124" s="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046D0-8A66-4B62-8219-F6E5EEFB7ACC}">
  <sheetPr codeName="Sheet4"/>
  <dimension ref="A1:E2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12.28515625" customWidth="1"/>
    <col min="2" max="2" width="24" customWidth="1"/>
    <col min="3" max="3" width="12.42578125" customWidth="1"/>
    <col min="4" max="4" width="12.140625" customWidth="1"/>
  </cols>
  <sheetData>
    <row r="1" spans="1:5" s="6" customFormat="1" x14ac:dyDescent="0.25">
      <c r="A1" s="6" t="s">
        <v>403</v>
      </c>
      <c r="B1" s="6" t="s">
        <v>197</v>
      </c>
      <c r="C1" s="6" t="s">
        <v>430</v>
      </c>
      <c r="D1" s="6" t="s">
        <v>264</v>
      </c>
      <c r="E1" s="6" t="s">
        <v>404</v>
      </c>
    </row>
    <row r="2" spans="1:5" x14ac:dyDescent="0.25">
      <c r="B2" t="s">
        <v>556</v>
      </c>
      <c r="D2" t="s">
        <v>557</v>
      </c>
      <c r="E2">
        <v>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8050-65A8-44E5-98E5-B8A51EDB0252}">
  <sheetPr codeName="Sheet5"/>
  <dimension ref="A1:G1"/>
  <sheetViews>
    <sheetView tabSelected="1" workbookViewId="0">
      <selection activeCell="F8" sqref="F8"/>
    </sheetView>
  </sheetViews>
  <sheetFormatPr baseColWidth="10" defaultColWidth="9.140625" defaultRowHeight="15" x14ac:dyDescent="0.25"/>
  <sheetData>
    <row r="1" spans="1:7" s="6" customFormat="1" x14ac:dyDescent="0.25">
      <c r="A1" s="6" t="s">
        <v>405</v>
      </c>
      <c r="B1" s="6" t="s">
        <v>262</v>
      </c>
      <c r="C1" s="6" t="s">
        <v>206</v>
      </c>
      <c r="D1" s="6" t="s">
        <v>406</v>
      </c>
      <c r="E1" s="6" t="s">
        <v>404</v>
      </c>
      <c r="F1" s="6" t="s">
        <v>263</v>
      </c>
      <c r="G1" s="6" t="s">
        <v>407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4761-BCBD-40BA-AAE0-B406B8C2248B}">
  <sheetPr codeName="Sheet6"/>
  <dimension ref="A1:H3"/>
  <sheetViews>
    <sheetView workbookViewId="0">
      <selection sqref="A1:XFD1"/>
    </sheetView>
  </sheetViews>
  <sheetFormatPr baseColWidth="10" defaultColWidth="9.140625" defaultRowHeight="15" x14ac:dyDescent="0.25"/>
  <cols>
    <col min="1" max="1" width="11.7109375" bestFit="1" customWidth="1"/>
    <col min="2" max="2" width="11.85546875" bestFit="1" customWidth="1"/>
    <col min="3" max="3" width="18" bestFit="1" customWidth="1"/>
    <col min="4" max="4" width="18.42578125" bestFit="1" customWidth="1"/>
    <col min="5" max="5" width="12.7109375" bestFit="1" customWidth="1"/>
    <col min="6" max="6" width="7.7109375" bestFit="1" customWidth="1"/>
    <col min="7" max="7" width="12.28515625" bestFit="1" customWidth="1"/>
    <col min="8" max="8" width="9.7109375" bestFit="1" customWidth="1"/>
  </cols>
  <sheetData>
    <row r="1" spans="1:8" s="6" customFormat="1" x14ac:dyDescent="0.25">
      <c r="A1" s="6" t="s">
        <v>408</v>
      </c>
      <c r="B1" s="6" t="s">
        <v>196</v>
      </c>
      <c r="C1" s="6" t="s">
        <v>409</v>
      </c>
      <c r="D1" s="6" t="s">
        <v>410</v>
      </c>
      <c r="E1" s="6" t="s">
        <v>431</v>
      </c>
      <c r="F1" s="6" t="s">
        <v>407</v>
      </c>
      <c r="G1" s="6" t="s">
        <v>411</v>
      </c>
      <c r="H1" s="6" t="s">
        <v>412</v>
      </c>
    </row>
    <row r="3" spans="1:8" x14ac:dyDescent="0.25">
      <c r="C3" s="4"/>
      <c r="D3" s="4"/>
      <c r="E3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D931-E84B-42F1-BB7F-1C279792858F}">
  <sheetPr codeName="Sheet7"/>
  <dimension ref="A1:H1"/>
  <sheetViews>
    <sheetView workbookViewId="0">
      <selection activeCell="F8" sqref="F8"/>
    </sheetView>
  </sheetViews>
  <sheetFormatPr baseColWidth="10" defaultColWidth="9.140625" defaultRowHeight="15" x14ac:dyDescent="0.25"/>
  <cols>
    <col min="6" max="6" width="22" bestFit="1" customWidth="1"/>
    <col min="7" max="7" width="12.7109375" bestFit="1" customWidth="1"/>
    <col min="8" max="8" width="10.7109375" bestFit="1" customWidth="1"/>
  </cols>
  <sheetData>
    <row r="1" spans="1:8" s="6" customFormat="1" x14ac:dyDescent="0.25">
      <c r="A1" s="6" t="s">
        <v>408</v>
      </c>
      <c r="B1" s="6" t="s">
        <v>262</v>
      </c>
      <c r="C1" s="6" t="s">
        <v>265</v>
      </c>
      <c r="D1" s="6" t="s">
        <v>413</v>
      </c>
      <c r="E1" s="6" t="s">
        <v>403</v>
      </c>
      <c r="F1" s="6" t="s">
        <v>414</v>
      </c>
      <c r="G1" s="6" t="s">
        <v>431</v>
      </c>
      <c r="H1" s="6" t="s">
        <v>415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F8153-6E73-48DF-9236-413A9099C620}">
  <sheetPr codeName="Sheet9"/>
  <dimension ref="J7"/>
  <sheetViews>
    <sheetView workbookViewId="0">
      <selection activeCell="E6" sqref="E6"/>
    </sheetView>
  </sheetViews>
  <sheetFormatPr baseColWidth="10" defaultColWidth="9.140625" defaultRowHeight="15" x14ac:dyDescent="0.25"/>
  <sheetData>
    <row r="7" spans="10:10" x14ac:dyDescent="0.25">
      <c r="J7" t="s">
        <v>555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tn_insertar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060F6-2035-4EEF-9325-F059684DC7A9}">
  <sheetPr codeName="Sheet8"/>
  <dimension ref="A1:AE124"/>
  <sheetViews>
    <sheetView topLeftCell="S1" workbookViewId="0">
      <selection activeCell="K2" sqref="K2:R2"/>
    </sheetView>
  </sheetViews>
  <sheetFormatPr baseColWidth="10" defaultColWidth="9.140625" defaultRowHeight="15" x14ac:dyDescent="0.25"/>
  <cols>
    <col min="1" max="1" width="16.85546875" bestFit="1" customWidth="1"/>
    <col min="2" max="2" width="4" bestFit="1" customWidth="1"/>
    <col min="4" max="4" width="7.42578125" bestFit="1" customWidth="1"/>
    <col min="6" max="6" width="7.7109375" bestFit="1" customWidth="1"/>
    <col min="8" max="8" width="13.42578125" bestFit="1" customWidth="1"/>
    <col min="9" max="9" width="50.7109375" bestFit="1" customWidth="1"/>
    <col min="11" max="11" width="11.7109375" bestFit="1" customWidth="1"/>
    <col min="12" max="12" width="11.85546875" bestFit="1" customWidth="1"/>
    <col min="13" max="13" width="18" bestFit="1" customWidth="1"/>
    <col min="14" max="14" width="18.42578125" bestFit="1" customWidth="1"/>
    <col min="15" max="15" width="12.7109375" bestFit="1" customWidth="1"/>
    <col min="16" max="16" width="7.7109375" bestFit="1" customWidth="1"/>
    <col min="17" max="17" width="12.28515625" bestFit="1" customWidth="1"/>
    <col min="18" max="18" width="9.7109375" bestFit="1" customWidth="1"/>
    <col min="20" max="20" width="13.42578125" bestFit="1" customWidth="1"/>
    <col min="21" max="21" width="19.85546875" bestFit="1" customWidth="1"/>
    <col min="22" max="22" width="6.5703125" bestFit="1" customWidth="1"/>
    <col min="23" max="23" width="12.85546875" bestFit="1" customWidth="1"/>
    <col min="24" max="24" width="19.140625" bestFit="1" customWidth="1"/>
    <col min="25" max="25" width="12.7109375" bestFit="1" customWidth="1"/>
    <col min="26" max="26" width="10.7109375" bestFit="1" customWidth="1"/>
    <col min="28" max="28" width="13.42578125" bestFit="1" customWidth="1"/>
    <col min="29" max="29" width="35.7109375" bestFit="1" customWidth="1"/>
    <col min="30" max="30" width="11.140625" bestFit="1" customWidth="1"/>
    <col min="31" max="31" width="6.5703125" bestFit="1" customWidth="1"/>
  </cols>
  <sheetData>
    <row r="1" spans="1:31" x14ac:dyDescent="0.25">
      <c r="A1" t="s">
        <v>416</v>
      </c>
      <c r="B1">
        <f>COUNTA(Clientes[Id Cliente])</f>
        <v>57</v>
      </c>
      <c r="D1" t="s">
        <v>424</v>
      </c>
      <c r="E1" t="s">
        <v>425</v>
      </c>
      <c r="F1" t="s">
        <v>426</v>
      </c>
      <c r="H1" t="s">
        <v>262</v>
      </c>
      <c r="I1" t="s">
        <v>427</v>
      </c>
      <c r="K1" s="1" t="s">
        <v>408</v>
      </c>
      <c r="L1" s="1" t="s">
        <v>196</v>
      </c>
      <c r="M1" s="1" t="s">
        <v>409</v>
      </c>
      <c r="N1" s="1" t="s">
        <v>410</v>
      </c>
      <c r="O1" s="1" t="s">
        <v>431</v>
      </c>
      <c r="P1" s="1" t="s">
        <v>407</v>
      </c>
      <c r="Q1" s="1" t="s">
        <v>411</v>
      </c>
      <c r="R1" s="1" t="s">
        <v>412</v>
      </c>
      <c r="T1" t="s">
        <v>262</v>
      </c>
      <c r="U1" t="s">
        <v>428</v>
      </c>
      <c r="V1" t="s">
        <v>265</v>
      </c>
      <c r="W1" t="s">
        <v>403</v>
      </c>
      <c r="X1" t="s">
        <v>429</v>
      </c>
      <c r="Y1" t="s">
        <v>431</v>
      </c>
      <c r="Z1" t="s">
        <v>415</v>
      </c>
      <c r="AB1" t="s">
        <v>262</v>
      </c>
      <c r="AC1" t="s">
        <v>197</v>
      </c>
      <c r="AD1" t="s">
        <v>263</v>
      </c>
      <c r="AE1" t="s">
        <v>265</v>
      </c>
    </row>
    <row r="2" spans="1:31" x14ac:dyDescent="0.25">
      <c r="A2" t="s">
        <v>417</v>
      </c>
      <c r="B2">
        <f>COUNTA(Proveedores[Empresa])</f>
        <v>21</v>
      </c>
      <c r="D2">
        <v>1</v>
      </c>
      <c r="E2">
        <v>1</v>
      </c>
      <c r="F2">
        <v>2020</v>
      </c>
      <c r="H2">
        <v>1</v>
      </c>
      <c r="I2" t="s">
        <v>552</v>
      </c>
    </row>
    <row r="3" spans="1:31" x14ac:dyDescent="0.25">
      <c r="A3" t="s">
        <v>418</v>
      </c>
      <c r="B3">
        <f>COUNTA(Productos[Id Producto])</f>
        <v>123</v>
      </c>
      <c r="D3">
        <v>2</v>
      </c>
      <c r="E3">
        <v>2</v>
      </c>
      <c r="F3">
        <v>2021</v>
      </c>
      <c r="H3">
        <v>13</v>
      </c>
      <c r="I3" t="s">
        <v>441</v>
      </c>
    </row>
    <row r="4" spans="1:31" x14ac:dyDescent="0.25">
      <c r="A4" t="s">
        <v>419</v>
      </c>
      <c r="B4">
        <f>COUNTA(Paquetes[Id Paquete])</f>
        <v>0</v>
      </c>
      <c r="D4">
        <v>3</v>
      </c>
      <c r="E4">
        <v>3</v>
      </c>
      <c r="F4">
        <v>2022</v>
      </c>
      <c r="H4">
        <v>103</v>
      </c>
      <c r="I4" t="s">
        <v>531</v>
      </c>
    </row>
    <row r="5" spans="1:31" x14ac:dyDescent="0.25">
      <c r="A5" t="s">
        <v>420</v>
      </c>
      <c r="B5">
        <f>COUNTA(Compras[Id Compra])</f>
        <v>0</v>
      </c>
      <c r="D5">
        <v>4</v>
      </c>
      <c r="E5">
        <v>4</v>
      </c>
      <c r="F5">
        <v>2023</v>
      </c>
      <c r="H5">
        <v>46</v>
      </c>
      <c r="I5" t="s">
        <v>474</v>
      </c>
    </row>
    <row r="6" spans="1:31" x14ac:dyDescent="0.25">
      <c r="A6" t="s">
        <v>421</v>
      </c>
      <c r="B6">
        <f>COUNTA(Pedidos[Id Pedido])</f>
        <v>0</v>
      </c>
      <c r="D6">
        <v>5</v>
      </c>
      <c r="E6">
        <v>5</v>
      </c>
      <c r="F6">
        <v>2024</v>
      </c>
      <c r="H6">
        <v>47</v>
      </c>
      <c r="I6" t="s">
        <v>475</v>
      </c>
    </row>
    <row r="7" spans="1:31" x14ac:dyDescent="0.25">
      <c r="A7" t="s">
        <v>422</v>
      </c>
      <c r="B7">
        <f>COUNTA(Ventas[Id Pedido])</f>
        <v>0</v>
      </c>
      <c r="D7">
        <v>6</v>
      </c>
      <c r="E7">
        <v>6</v>
      </c>
      <c r="F7">
        <v>2025</v>
      </c>
      <c r="H7">
        <v>44</v>
      </c>
      <c r="I7" t="s">
        <v>472</v>
      </c>
    </row>
    <row r="8" spans="1:31" x14ac:dyDescent="0.25">
      <c r="A8" t="s">
        <v>423</v>
      </c>
      <c r="B8">
        <f>COUNTA(Ventas_Aux[Id Producto])</f>
        <v>0</v>
      </c>
      <c r="D8">
        <v>7</v>
      </c>
      <c r="E8">
        <v>7</v>
      </c>
      <c r="F8">
        <v>2026</v>
      </c>
      <c r="H8">
        <v>45</v>
      </c>
      <c r="I8" t="s">
        <v>473</v>
      </c>
    </row>
    <row r="9" spans="1:31" x14ac:dyDescent="0.25">
      <c r="D9">
        <v>8</v>
      </c>
      <c r="E9">
        <v>8</v>
      </c>
      <c r="F9">
        <v>2027</v>
      </c>
      <c r="H9">
        <v>56</v>
      </c>
      <c r="I9" t="s">
        <v>484</v>
      </c>
    </row>
    <row r="10" spans="1:31" x14ac:dyDescent="0.25">
      <c r="D10">
        <v>9</v>
      </c>
      <c r="E10">
        <v>9</v>
      </c>
      <c r="F10">
        <v>2028</v>
      </c>
      <c r="H10">
        <v>57</v>
      </c>
      <c r="I10" t="s">
        <v>485</v>
      </c>
    </row>
    <row r="11" spans="1:31" x14ac:dyDescent="0.25">
      <c r="D11">
        <v>10</v>
      </c>
      <c r="E11">
        <v>10</v>
      </c>
      <c r="F11">
        <v>2029</v>
      </c>
      <c r="H11">
        <v>54</v>
      </c>
      <c r="I11" t="s">
        <v>482</v>
      </c>
    </row>
    <row r="12" spans="1:31" x14ac:dyDescent="0.25">
      <c r="D12">
        <v>11</v>
      </c>
      <c r="E12">
        <v>11</v>
      </c>
      <c r="F12">
        <v>2030</v>
      </c>
      <c r="H12">
        <v>55</v>
      </c>
      <c r="I12" t="s">
        <v>483</v>
      </c>
    </row>
    <row r="13" spans="1:31" x14ac:dyDescent="0.25">
      <c r="D13">
        <v>12</v>
      </c>
      <c r="E13">
        <v>12</v>
      </c>
      <c r="F13">
        <v>2031</v>
      </c>
      <c r="H13">
        <v>64</v>
      </c>
      <c r="I13" t="s">
        <v>492</v>
      </c>
    </row>
    <row r="14" spans="1:31" x14ac:dyDescent="0.25">
      <c r="D14">
        <v>13</v>
      </c>
      <c r="F14">
        <v>2032</v>
      </c>
      <c r="H14">
        <v>65</v>
      </c>
      <c r="I14" t="s">
        <v>493</v>
      </c>
    </row>
    <row r="15" spans="1:31" x14ac:dyDescent="0.25">
      <c r="D15">
        <v>14</v>
      </c>
      <c r="F15">
        <v>2033</v>
      </c>
      <c r="H15">
        <v>84</v>
      </c>
      <c r="I15" t="s">
        <v>512</v>
      </c>
    </row>
    <row r="16" spans="1:31" x14ac:dyDescent="0.25">
      <c r="D16">
        <v>15</v>
      </c>
      <c r="F16">
        <v>2034</v>
      </c>
      <c r="H16">
        <v>99</v>
      </c>
      <c r="I16" t="s">
        <v>527</v>
      </c>
    </row>
    <row r="17" spans="4:9" x14ac:dyDescent="0.25">
      <c r="D17">
        <v>16</v>
      </c>
      <c r="F17">
        <v>2035</v>
      </c>
      <c r="H17">
        <v>50</v>
      </c>
      <c r="I17" t="s">
        <v>478</v>
      </c>
    </row>
    <row r="18" spans="4:9" x14ac:dyDescent="0.25">
      <c r="D18">
        <v>17</v>
      </c>
      <c r="F18">
        <v>2036</v>
      </c>
      <c r="H18">
        <v>51</v>
      </c>
      <c r="I18" t="s">
        <v>479</v>
      </c>
    </row>
    <row r="19" spans="4:9" x14ac:dyDescent="0.25">
      <c r="D19">
        <v>18</v>
      </c>
      <c r="F19">
        <v>2037</v>
      </c>
      <c r="H19">
        <v>48</v>
      </c>
      <c r="I19" t="s">
        <v>476</v>
      </c>
    </row>
    <row r="20" spans="4:9" x14ac:dyDescent="0.25">
      <c r="D20">
        <v>19</v>
      </c>
      <c r="F20">
        <v>2038</v>
      </c>
      <c r="H20">
        <v>49</v>
      </c>
      <c r="I20" t="s">
        <v>477</v>
      </c>
    </row>
    <row r="21" spans="4:9" x14ac:dyDescent="0.25">
      <c r="D21">
        <v>20</v>
      </c>
      <c r="F21">
        <v>2039</v>
      </c>
      <c r="H21">
        <v>105</v>
      </c>
      <c r="I21" t="s">
        <v>533</v>
      </c>
    </row>
    <row r="22" spans="4:9" x14ac:dyDescent="0.25">
      <c r="D22">
        <v>21</v>
      </c>
      <c r="F22">
        <v>2040</v>
      </c>
      <c r="H22">
        <v>120</v>
      </c>
      <c r="I22" t="s">
        <v>548</v>
      </c>
    </row>
    <row r="23" spans="4:9" x14ac:dyDescent="0.25">
      <c r="D23">
        <v>22</v>
      </c>
      <c r="H23">
        <v>15</v>
      </c>
      <c r="I23" t="s">
        <v>443</v>
      </c>
    </row>
    <row r="24" spans="4:9" x14ac:dyDescent="0.25">
      <c r="D24">
        <v>23</v>
      </c>
      <c r="H24">
        <v>19</v>
      </c>
      <c r="I24" t="s">
        <v>447</v>
      </c>
    </row>
    <row r="25" spans="4:9" x14ac:dyDescent="0.25">
      <c r="D25">
        <v>24</v>
      </c>
      <c r="H25">
        <v>14</v>
      </c>
      <c r="I25" t="s">
        <v>442</v>
      </c>
    </row>
    <row r="26" spans="4:9" x14ac:dyDescent="0.25">
      <c r="D26">
        <v>25</v>
      </c>
      <c r="H26">
        <v>73</v>
      </c>
      <c r="I26" t="s">
        <v>501</v>
      </c>
    </row>
    <row r="27" spans="4:9" x14ac:dyDescent="0.25">
      <c r="D27">
        <v>26</v>
      </c>
      <c r="H27">
        <v>2</v>
      </c>
      <c r="I27" t="s">
        <v>553</v>
      </c>
    </row>
    <row r="28" spans="4:9" x14ac:dyDescent="0.25">
      <c r="D28">
        <v>27</v>
      </c>
      <c r="H28">
        <v>4</v>
      </c>
      <c r="I28" t="s">
        <v>432</v>
      </c>
    </row>
    <row r="29" spans="4:9" x14ac:dyDescent="0.25">
      <c r="D29">
        <v>28</v>
      </c>
      <c r="H29">
        <v>3</v>
      </c>
      <c r="I29" t="s">
        <v>554</v>
      </c>
    </row>
    <row r="30" spans="4:9" x14ac:dyDescent="0.25">
      <c r="D30">
        <v>29</v>
      </c>
      <c r="H30">
        <v>94</v>
      </c>
      <c r="I30" t="s">
        <v>522</v>
      </c>
    </row>
    <row r="31" spans="4:9" x14ac:dyDescent="0.25">
      <c r="D31">
        <v>30</v>
      </c>
      <c r="H31">
        <v>93</v>
      </c>
      <c r="I31" t="s">
        <v>521</v>
      </c>
    </row>
    <row r="32" spans="4:9" x14ac:dyDescent="0.25">
      <c r="D32">
        <v>31</v>
      </c>
      <c r="H32">
        <v>95</v>
      </c>
      <c r="I32" t="s">
        <v>523</v>
      </c>
    </row>
    <row r="33" spans="8:9" x14ac:dyDescent="0.25">
      <c r="H33">
        <v>20</v>
      </c>
      <c r="I33" t="s">
        <v>448</v>
      </c>
    </row>
    <row r="34" spans="8:9" x14ac:dyDescent="0.25">
      <c r="H34">
        <v>123</v>
      </c>
      <c r="I34" t="s">
        <v>551</v>
      </c>
    </row>
    <row r="35" spans="8:9" x14ac:dyDescent="0.25">
      <c r="H35">
        <v>7</v>
      </c>
      <c r="I35" t="s">
        <v>435</v>
      </c>
    </row>
    <row r="36" spans="8:9" x14ac:dyDescent="0.25">
      <c r="H36">
        <v>8</v>
      </c>
      <c r="I36" t="s">
        <v>436</v>
      </c>
    </row>
    <row r="37" spans="8:9" x14ac:dyDescent="0.25">
      <c r="H37">
        <v>9</v>
      </c>
      <c r="I37" t="s">
        <v>437</v>
      </c>
    </row>
    <row r="38" spans="8:9" x14ac:dyDescent="0.25">
      <c r="H38">
        <v>12</v>
      </c>
      <c r="I38" t="s">
        <v>440</v>
      </c>
    </row>
    <row r="39" spans="8:9" x14ac:dyDescent="0.25">
      <c r="H39">
        <v>113</v>
      </c>
      <c r="I39" t="s">
        <v>541</v>
      </c>
    </row>
    <row r="40" spans="8:9" x14ac:dyDescent="0.25">
      <c r="H40">
        <v>112</v>
      </c>
      <c r="I40" t="s">
        <v>540</v>
      </c>
    </row>
    <row r="41" spans="8:9" x14ac:dyDescent="0.25">
      <c r="H41">
        <v>98</v>
      </c>
      <c r="I41" t="s">
        <v>526</v>
      </c>
    </row>
    <row r="42" spans="8:9" x14ac:dyDescent="0.25">
      <c r="H42">
        <v>106</v>
      </c>
      <c r="I42" t="s">
        <v>534</v>
      </c>
    </row>
    <row r="43" spans="8:9" x14ac:dyDescent="0.25">
      <c r="H43">
        <v>108</v>
      </c>
      <c r="I43" t="s">
        <v>536</v>
      </c>
    </row>
    <row r="44" spans="8:9" x14ac:dyDescent="0.25">
      <c r="H44">
        <v>115</v>
      </c>
      <c r="I44" t="s">
        <v>543</v>
      </c>
    </row>
    <row r="45" spans="8:9" x14ac:dyDescent="0.25">
      <c r="H45">
        <v>35</v>
      </c>
      <c r="I45" t="s">
        <v>463</v>
      </c>
    </row>
    <row r="46" spans="8:9" x14ac:dyDescent="0.25">
      <c r="H46">
        <v>37</v>
      </c>
      <c r="I46" t="s">
        <v>465</v>
      </c>
    </row>
    <row r="47" spans="8:9" x14ac:dyDescent="0.25">
      <c r="H47">
        <v>18</v>
      </c>
      <c r="I47" t="s">
        <v>446</v>
      </c>
    </row>
    <row r="48" spans="8:9" x14ac:dyDescent="0.25">
      <c r="H48">
        <v>16</v>
      </c>
      <c r="I48" t="s">
        <v>444</v>
      </c>
    </row>
    <row r="49" spans="8:9" x14ac:dyDescent="0.25">
      <c r="H49">
        <v>90</v>
      </c>
      <c r="I49" t="s">
        <v>518</v>
      </c>
    </row>
    <row r="50" spans="8:9" x14ac:dyDescent="0.25">
      <c r="H50">
        <v>92</v>
      </c>
      <c r="I50" t="s">
        <v>520</v>
      </c>
    </row>
    <row r="51" spans="8:9" x14ac:dyDescent="0.25">
      <c r="H51">
        <v>89</v>
      </c>
      <c r="I51" t="s">
        <v>517</v>
      </c>
    </row>
    <row r="52" spans="8:9" x14ac:dyDescent="0.25">
      <c r="H52">
        <v>91</v>
      </c>
      <c r="I52" t="s">
        <v>519</v>
      </c>
    </row>
    <row r="53" spans="8:9" x14ac:dyDescent="0.25">
      <c r="H53">
        <v>104</v>
      </c>
      <c r="I53" t="s">
        <v>532</v>
      </c>
    </row>
    <row r="54" spans="8:9" x14ac:dyDescent="0.25">
      <c r="H54">
        <v>88</v>
      </c>
      <c r="I54" t="s">
        <v>516</v>
      </c>
    </row>
    <row r="55" spans="8:9" x14ac:dyDescent="0.25">
      <c r="H55">
        <v>62</v>
      </c>
      <c r="I55" t="s">
        <v>490</v>
      </c>
    </row>
    <row r="56" spans="8:9" x14ac:dyDescent="0.25">
      <c r="H56">
        <v>63</v>
      </c>
      <c r="I56" t="s">
        <v>491</v>
      </c>
    </row>
    <row r="57" spans="8:9" x14ac:dyDescent="0.25">
      <c r="H57">
        <v>85</v>
      </c>
      <c r="I57" t="s">
        <v>513</v>
      </c>
    </row>
    <row r="58" spans="8:9" x14ac:dyDescent="0.25">
      <c r="H58">
        <v>86</v>
      </c>
      <c r="I58" t="s">
        <v>514</v>
      </c>
    </row>
    <row r="59" spans="8:9" x14ac:dyDescent="0.25">
      <c r="H59">
        <v>43</v>
      </c>
      <c r="I59" t="s">
        <v>471</v>
      </c>
    </row>
    <row r="60" spans="8:9" x14ac:dyDescent="0.25">
      <c r="H60">
        <v>36</v>
      </c>
      <c r="I60" t="s">
        <v>464</v>
      </c>
    </row>
    <row r="61" spans="8:9" x14ac:dyDescent="0.25">
      <c r="H61">
        <v>111</v>
      </c>
      <c r="I61" t="s">
        <v>539</v>
      </c>
    </row>
    <row r="62" spans="8:9" x14ac:dyDescent="0.25">
      <c r="H62">
        <v>119</v>
      </c>
      <c r="I62" t="s">
        <v>547</v>
      </c>
    </row>
    <row r="63" spans="8:9" x14ac:dyDescent="0.25">
      <c r="H63">
        <v>22</v>
      </c>
      <c r="I63" t="s">
        <v>450</v>
      </c>
    </row>
    <row r="64" spans="8:9" x14ac:dyDescent="0.25">
      <c r="H64">
        <v>23</v>
      </c>
      <c r="I64" t="s">
        <v>451</v>
      </c>
    </row>
    <row r="65" spans="8:9" x14ac:dyDescent="0.25">
      <c r="H65">
        <v>24</v>
      </c>
      <c r="I65" t="s">
        <v>452</v>
      </c>
    </row>
    <row r="66" spans="8:9" x14ac:dyDescent="0.25">
      <c r="H66">
        <v>74</v>
      </c>
      <c r="I66" t="s">
        <v>502</v>
      </c>
    </row>
    <row r="67" spans="8:9" x14ac:dyDescent="0.25">
      <c r="H67">
        <v>10</v>
      </c>
      <c r="I67" t="s">
        <v>438</v>
      </c>
    </row>
    <row r="68" spans="8:9" x14ac:dyDescent="0.25">
      <c r="H68">
        <v>87</v>
      </c>
      <c r="I68" t="s">
        <v>515</v>
      </c>
    </row>
    <row r="69" spans="8:9" x14ac:dyDescent="0.25">
      <c r="H69">
        <v>25</v>
      </c>
      <c r="I69" t="s">
        <v>453</v>
      </c>
    </row>
    <row r="70" spans="8:9" x14ac:dyDescent="0.25">
      <c r="H70">
        <v>26</v>
      </c>
      <c r="I70" t="s">
        <v>454</v>
      </c>
    </row>
    <row r="71" spans="8:9" x14ac:dyDescent="0.25">
      <c r="H71">
        <v>101</v>
      </c>
      <c r="I71" t="s">
        <v>529</v>
      </c>
    </row>
    <row r="72" spans="8:9" x14ac:dyDescent="0.25">
      <c r="H72">
        <v>31</v>
      </c>
      <c r="I72" t="s">
        <v>459</v>
      </c>
    </row>
    <row r="73" spans="8:9" x14ac:dyDescent="0.25">
      <c r="H73">
        <v>27</v>
      </c>
      <c r="I73" t="s">
        <v>455</v>
      </c>
    </row>
    <row r="74" spans="8:9" x14ac:dyDescent="0.25">
      <c r="H74">
        <v>60</v>
      </c>
      <c r="I74" t="s">
        <v>488</v>
      </c>
    </row>
    <row r="75" spans="8:9" x14ac:dyDescent="0.25">
      <c r="H75">
        <v>61</v>
      </c>
      <c r="I75" t="s">
        <v>489</v>
      </c>
    </row>
    <row r="76" spans="8:9" x14ac:dyDescent="0.25">
      <c r="H76">
        <v>38</v>
      </c>
      <c r="I76" t="s">
        <v>466</v>
      </c>
    </row>
    <row r="77" spans="8:9" x14ac:dyDescent="0.25">
      <c r="H77">
        <v>28</v>
      </c>
      <c r="I77" t="s">
        <v>456</v>
      </c>
    </row>
    <row r="78" spans="8:9" x14ac:dyDescent="0.25">
      <c r="H78">
        <v>29</v>
      </c>
      <c r="I78" t="s">
        <v>457</v>
      </c>
    </row>
    <row r="79" spans="8:9" x14ac:dyDescent="0.25">
      <c r="H79">
        <v>100</v>
      </c>
      <c r="I79" t="s">
        <v>528</v>
      </c>
    </row>
    <row r="80" spans="8:9" x14ac:dyDescent="0.25">
      <c r="H80">
        <v>96</v>
      </c>
      <c r="I80" t="s">
        <v>524</v>
      </c>
    </row>
    <row r="81" spans="8:9" x14ac:dyDescent="0.25">
      <c r="H81">
        <v>102</v>
      </c>
      <c r="I81" t="s">
        <v>530</v>
      </c>
    </row>
    <row r="82" spans="8:9" x14ac:dyDescent="0.25">
      <c r="H82" s="5">
        <v>21</v>
      </c>
      <c r="I82" t="s">
        <v>449</v>
      </c>
    </row>
    <row r="83" spans="8:9" x14ac:dyDescent="0.25">
      <c r="H83">
        <v>72</v>
      </c>
      <c r="I83" t="s">
        <v>500</v>
      </c>
    </row>
    <row r="84" spans="8:9" x14ac:dyDescent="0.25">
      <c r="H84">
        <v>71</v>
      </c>
      <c r="I84" t="s">
        <v>499</v>
      </c>
    </row>
    <row r="85" spans="8:9" x14ac:dyDescent="0.25">
      <c r="H85">
        <v>69</v>
      </c>
      <c r="I85" t="s">
        <v>497</v>
      </c>
    </row>
    <row r="86" spans="8:9" x14ac:dyDescent="0.25">
      <c r="H86">
        <v>70</v>
      </c>
      <c r="I86" t="s">
        <v>498</v>
      </c>
    </row>
    <row r="87" spans="8:9" x14ac:dyDescent="0.25">
      <c r="H87">
        <v>66</v>
      </c>
      <c r="I87" t="s">
        <v>494</v>
      </c>
    </row>
    <row r="88" spans="8:9" x14ac:dyDescent="0.25">
      <c r="H88">
        <v>67</v>
      </c>
      <c r="I88" t="s">
        <v>495</v>
      </c>
    </row>
    <row r="89" spans="8:9" x14ac:dyDescent="0.25">
      <c r="H89">
        <v>68</v>
      </c>
      <c r="I89" t="s">
        <v>496</v>
      </c>
    </row>
    <row r="90" spans="8:9" x14ac:dyDescent="0.25">
      <c r="H90">
        <v>30</v>
      </c>
      <c r="I90" t="s">
        <v>458</v>
      </c>
    </row>
    <row r="91" spans="8:9" x14ac:dyDescent="0.25">
      <c r="H91">
        <v>109</v>
      </c>
      <c r="I91" t="s">
        <v>537</v>
      </c>
    </row>
    <row r="92" spans="8:9" x14ac:dyDescent="0.25">
      <c r="H92">
        <v>116</v>
      </c>
      <c r="I92" t="s">
        <v>544</v>
      </c>
    </row>
    <row r="93" spans="8:9" x14ac:dyDescent="0.25">
      <c r="H93">
        <v>17</v>
      </c>
      <c r="I93" t="s">
        <v>445</v>
      </c>
    </row>
    <row r="94" spans="8:9" x14ac:dyDescent="0.25">
      <c r="H94">
        <v>58</v>
      </c>
      <c r="I94" t="s">
        <v>486</v>
      </c>
    </row>
    <row r="95" spans="8:9" x14ac:dyDescent="0.25">
      <c r="H95">
        <v>59</v>
      </c>
      <c r="I95" t="s">
        <v>487</v>
      </c>
    </row>
    <row r="96" spans="8:9" x14ac:dyDescent="0.25">
      <c r="H96">
        <v>121</v>
      </c>
      <c r="I96" t="s">
        <v>549</v>
      </c>
    </row>
    <row r="97" spans="8:9" x14ac:dyDescent="0.25">
      <c r="H97">
        <v>6</v>
      </c>
      <c r="I97" t="s">
        <v>434</v>
      </c>
    </row>
    <row r="98" spans="8:9" x14ac:dyDescent="0.25">
      <c r="H98">
        <v>118</v>
      </c>
      <c r="I98" t="s">
        <v>546</v>
      </c>
    </row>
    <row r="99" spans="8:9" x14ac:dyDescent="0.25">
      <c r="H99">
        <v>122</v>
      </c>
      <c r="I99" t="s">
        <v>550</v>
      </c>
    </row>
    <row r="100" spans="8:9" x14ac:dyDescent="0.25">
      <c r="H100">
        <v>5</v>
      </c>
      <c r="I100" t="s">
        <v>433</v>
      </c>
    </row>
    <row r="101" spans="8:9" x14ac:dyDescent="0.25">
      <c r="H101">
        <v>33</v>
      </c>
      <c r="I101" t="s">
        <v>461</v>
      </c>
    </row>
    <row r="102" spans="8:9" x14ac:dyDescent="0.25">
      <c r="H102">
        <v>97</v>
      </c>
      <c r="I102" t="s">
        <v>525</v>
      </c>
    </row>
    <row r="103" spans="8:9" x14ac:dyDescent="0.25">
      <c r="H103">
        <v>83</v>
      </c>
      <c r="I103" t="s">
        <v>511</v>
      </c>
    </row>
    <row r="104" spans="8:9" x14ac:dyDescent="0.25">
      <c r="H104">
        <v>80</v>
      </c>
      <c r="I104" t="s">
        <v>508</v>
      </c>
    </row>
    <row r="105" spans="8:9" x14ac:dyDescent="0.25">
      <c r="H105">
        <v>81</v>
      </c>
      <c r="I105" t="s">
        <v>509</v>
      </c>
    </row>
    <row r="106" spans="8:9" x14ac:dyDescent="0.25">
      <c r="H106">
        <v>82</v>
      </c>
      <c r="I106" t="s">
        <v>510</v>
      </c>
    </row>
    <row r="107" spans="8:9" x14ac:dyDescent="0.25">
      <c r="H107">
        <v>79</v>
      </c>
      <c r="I107" t="s">
        <v>507</v>
      </c>
    </row>
    <row r="108" spans="8:9" x14ac:dyDescent="0.25">
      <c r="H108">
        <v>78</v>
      </c>
      <c r="I108" t="s">
        <v>506</v>
      </c>
    </row>
    <row r="109" spans="8:9" x14ac:dyDescent="0.25">
      <c r="H109">
        <v>76</v>
      </c>
      <c r="I109" t="s">
        <v>504</v>
      </c>
    </row>
    <row r="110" spans="8:9" x14ac:dyDescent="0.25">
      <c r="H110">
        <v>77</v>
      </c>
      <c r="I110" t="s">
        <v>505</v>
      </c>
    </row>
    <row r="111" spans="8:9" x14ac:dyDescent="0.25">
      <c r="H111">
        <v>75</v>
      </c>
      <c r="I111" t="s">
        <v>503</v>
      </c>
    </row>
    <row r="112" spans="8:9" x14ac:dyDescent="0.25">
      <c r="H112">
        <v>52</v>
      </c>
      <c r="I112" t="s">
        <v>480</v>
      </c>
    </row>
    <row r="113" spans="8:9" x14ac:dyDescent="0.25">
      <c r="H113">
        <v>53</v>
      </c>
      <c r="I113" t="s">
        <v>481</v>
      </c>
    </row>
    <row r="114" spans="8:9" x14ac:dyDescent="0.25">
      <c r="H114">
        <v>34</v>
      </c>
      <c r="I114" t="s">
        <v>462</v>
      </c>
    </row>
    <row r="115" spans="8:9" x14ac:dyDescent="0.25">
      <c r="H115">
        <v>107</v>
      </c>
      <c r="I115" t="s">
        <v>535</v>
      </c>
    </row>
    <row r="116" spans="8:9" x14ac:dyDescent="0.25">
      <c r="H116">
        <v>114</v>
      </c>
      <c r="I116" t="s">
        <v>542</v>
      </c>
    </row>
    <row r="117" spans="8:9" x14ac:dyDescent="0.25">
      <c r="H117">
        <v>32</v>
      </c>
      <c r="I117" t="s">
        <v>460</v>
      </c>
    </row>
    <row r="118" spans="8:9" x14ac:dyDescent="0.25">
      <c r="H118">
        <v>110</v>
      </c>
      <c r="I118" t="s">
        <v>538</v>
      </c>
    </row>
    <row r="119" spans="8:9" x14ac:dyDescent="0.25">
      <c r="H119">
        <v>117</v>
      </c>
      <c r="I119" t="s">
        <v>545</v>
      </c>
    </row>
    <row r="120" spans="8:9" x14ac:dyDescent="0.25">
      <c r="H120">
        <v>41</v>
      </c>
      <c r="I120" t="s">
        <v>469</v>
      </c>
    </row>
    <row r="121" spans="8:9" x14ac:dyDescent="0.25">
      <c r="H121">
        <v>40</v>
      </c>
      <c r="I121" t="s">
        <v>468</v>
      </c>
    </row>
    <row r="122" spans="8:9" x14ac:dyDescent="0.25">
      <c r="H122">
        <v>42</v>
      </c>
      <c r="I122" t="s">
        <v>470</v>
      </c>
    </row>
    <row r="123" spans="8:9" x14ac:dyDescent="0.25">
      <c r="H123">
        <v>39</v>
      </c>
      <c r="I123" t="s">
        <v>467</v>
      </c>
    </row>
    <row r="124" spans="8:9" x14ac:dyDescent="0.25">
      <c r="H124">
        <v>11</v>
      </c>
      <c r="I124" t="s">
        <v>439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Clientes</vt:lpstr>
      <vt:lpstr>Proveedores</vt:lpstr>
      <vt:lpstr>Productos</vt:lpstr>
      <vt:lpstr>Paquetes</vt:lpstr>
      <vt:lpstr>Compras</vt:lpstr>
      <vt:lpstr>Pedidos</vt:lpstr>
      <vt:lpstr>Ventas</vt:lpstr>
      <vt:lpstr>Admin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Agustin Pumarejo</dc:creator>
  <cp:lastModifiedBy>Agustin Pumarejo</cp:lastModifiedBy>
  <dcterms:created xsi:type="dcterms:W3CDTF">2015-06-05T18:17:20Z</dcterms:created>
  <dcterms:modified xsi:type="dcterms:W3CDTF">2021-05-01T00:09:16Z</dcterms:modified>
</cp:coreProperties>
</file>